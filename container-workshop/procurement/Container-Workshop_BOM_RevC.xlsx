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OM" sheetId="2" state="visible" r:id="rId4"/>
    <sheet name="Group summary" sheetId="3" state="visible" r:id="rId5"/>
    <sheet name="Sensor schedule" sheetId="4" state="visible" r:id="rId6"/>
    <sheet name="Dimens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<sst xmlns="http://schemas.openxmlformats.org/spreadsheetml/2006/main" count="1567" uniqueCount="1033">
  <si>
    <t xml:space="preserve">CONTAINER WORKSHOP — BILL OF MATERIALS</t>
  </si>
  <si>
    <r>
      <rPr>
        <sz val="12"/>
        <rFont val="WenQuanYi Zen Hei"/>
        <family val="2"/>
      </rPr>
      <t xml:space="preserve">集装箱车间 — 材料清单 </t>
    </r>
    <r>
      <rPr>
        <sz val="12"/>
        <rFont val="Arial"/>
        <family val="0"/>
        <charset val="1"/>
      </rPr>
      <t xml:space="preserve">· Request for Quotation </t>
    </r>
    <r>
      <rPr>
        <sz val="12"/>
        <rFont val="WenQuanYi Zen Hei"/>
        <family val="2"/>
      </rPr>
      <t xml:space="preserve">询价书</t>
    </r>
  </si>
  <si>
    <t xml:space="preserve">RFQ number</t>
  </si>
  <si>
    <t xml:space="preserve">RFQ-CW-2026-001</t>
  </si>
  <si>
    <t xml:space="preserve">Design revision</t>
  </si>
  <si>
    <t xml:space="preserve">C — 2026-08-24, status: for engineering</t>
  </si>
  <si>
    <t xml:space="preserve">Issued</t>
  </si>
  <si>
    <t xml:space="preserve">2026-09-24</t>
  </si>
  <si>
    <t xml:space="preserve">Quotations due</t>
  </si>
  <si>
    <t xml:space="preserve">2026-10-22</t>
  </si>
  <si>
    <t xml:space="preserve">Buyer contact</t>
  </si>
  <si>
    <t xml:space="preserve">aaron@carbonproject.com.au</t>
  </si>
  <si>
    <t xml:space="preserve">Delivery basis</t>
  </si>
  <si>
    <t xml:space="preserve">FOB nominated China port; freight to CIF Port of Brisbane, Australia as separate lines</t>
  </si>
  <si>
    <t xml:space="preserve">Currency</t>
  </si>
  <si>
    <t xml:space="preserve">USD (state exchange assumptions for any CNY components)</t>
  </si>
  <si>
    <t xml:space="preserve">Validity required</t>
  </si>
  <si>
    <t xml:space="preserve">90 days from submission</t>
  </si>
  <si>
    <r>
      <rPr>
        <b val="true"/>
        <sz val="12"/>
        <rFont val="Arial"/>
        <family val="0"/>
        <charset val="1"/>
      </rPr>
      <t xml:space="preserve">HOW TO COMPLETE THIS WORKBOOK </t>
    </r>
    <r>
      <rPr>
        <b val="true"/>
        <sz val="12"/>
        <rFont val="WenQuanYi Zen Hei"/>
        <family val="2"/>
      </rPr>
      <t xml:space="preserve">填写说明</t>
    </r>
  </si>
  <si>
    <t xml:space="preserve">1. Enter unit rates ONLY in the yellow cells on the BOM sheet (column I) and the freight lines on the Group summary sheet. Amounts and rollups calculate automatically.</t>
  </si>
  <si>
    <t xml:space="preserve">2. Quote every line in your package scope. Leave a yellow cell empty only if the line is excluded — and say so in column K.</t>
  </si>
  <si>
    <t xml:space="preserve">3. Scope codes: CN = base scope, quote required. CN-OPT = priced option, excluded from the base total. LOCAL = Australian local supply or site works — for information only, do not quote.</t>
  </si>
  <si>
    <t xml:space="preserve">4. Record every deviation, substitution or alternative in column K (Tenderer remarks). Substitutions of Australian steel sections (UB/UC to AS/NZS 3679.1) require documented section-property equivalence and are not accepted without written approval.</t>
  </si>
  <si>
    <t xml:space="preserve">5. Nominal masses are for freight planning only; final masses come from your shop detailing. Rate and amount columns arrive empty by design: no prices are invented anywhere in this package — they come from supplier quotes.</t>
  </si>
  <si>
    <r>
      <rPr>
        <sz val="10"/>
        <rFont val="Arial"/>
        <family val="0"/>
        <charset val="1"/>
      </rPr>
      <t xml:space="preserve">6. Return this workbook in .xlsx format together with the technical submissions listed in the RFQ brief. The English text governs. </t>
    </r>
    <r>
      <rPr>
        <sz val="10"/>
        <rFont val="WenQuanYi Zen Hei"/>
        <family val="2"/>
      </rPr>
      <t xml:space="preserve">如有歧义，以英文版本为准。</t>
    </r>
  </si>
  <si>
    <r>
      <rPr>
        <b val="true"/>
        <sz val="12"/>
        <rFont val="Arial"/>
        <family val="0"/>
        <charset val="1"/>
      </rPr>
      <t xml:space="preserve">LEGEND &amp; EXAMPLE </t>
    </r>
    <r>
      <rPr>
        <b val="true"/>
        <sz val="12"/>
        <rFont val="WenQuanYi Zen Hei"/>
        <family val="2"/>
      </rPr>
      <t xml:space="preserve">图例</t>
    </r>
  </si>
  <si>
    <t xml:space="preserve">Yellow cell = tenderer input</t>
  </si>
  <si>
    <t xml:space="preserve">Blue text = entered value · Black = calculated · Grey row = LOCAL, not quoted</t>
  </si>
  <si>
    <t xml:space="preserve">Example only</t>
  </si>
  <si>
    <t xml:space="preserve">Unit</t>
  </si>
  <si>
    <t xml:space="preserve">Qty</t>
  </si>
  <si>
    <t xml:space="preserve">Unit rate (USD)</t>
  </si>
  <si>
    <t xml:space="preserve">Amount (USD)</t>
  </si>
  <si>
    <t xml:space="preserve">Purlin Z200-19 (illustration of expected format — not a real price)</t>
  </si>
  <si>
    <t xml:space="preserve">m</t>
  </si>
  <si>
    <t xml:space="preserve">This BOM derives from the rev C parametric design package (Fusion master: Container Workshop MASTER). It is coordinated and dimensionally consistent but NOT a certified design: structural, plant-registration and electrical certification happen in Australia against the successful tenderer's shop drawings and data. See the RFQ brief for the 15-item sign-off register, quality requirements, packing and shipping terms.</t>
  </si>
  <si>
    <t xml:space="preserve">Item</t>
  </si>
  <si>
    <t xml:space="preserve">Description</t>
  </si>
  <si>
    <t xml:space="preserve">Specification / standard</t>
  </si>
  <si>
    <t xml:space="preserve">Notes</t>
  </si>
  <si>
    <t xml:space="preserve">Nominal mass (kg)</t>
  </si>
  <si>
    <t xml:space="preserve">Scope</t>
  </si>
  <si>
    <t xml:space="preserve">Tenderer remarks / deviations</t>
  </si>
  <si>
    <t xml:space="preserve">A</t>
  </si>
  <si>
    <t xml:space="preserve">ISO CONTAINERS &amp; INTER-CONNECTION</t>
  </si>
  <si>
    <t xml:space="preserve">A-01</t>
  </si>
  <si>
    <t xml:space="preserve">40 ft high-cube ISO shipping container, one-trip condition</t>
  </si>
  <si>
    <t xml:space="preserve">ISO 668 1AAA, 12.192 x 2.438 x 2.896 m, CSC safety-approval plated, doors and seals intact</t>
  </si>
  <si>
    <t xml:space="preserve">The three containers form the building and double as the export freight containers for this kit (shipper-owned containers)</t>
  </si>
  <si>
    <t xml:space="preserve">ea</t>
  </si>
  <si>
    <t xml:space="preserve">CN</t>
  </si>
  <si>
    <t xml:space="preserve">A-02</t>
  </si>
  <si>
    <t xml:space="preserve">Inter-container corner connection plate set, bolted</t>
  </si>
  <si>
    <t xml:space="preserve">HDG to AS/NZS 4680; engages ISO corner castings top and bottom</t>
  </si>
  <si>
    <t xml:space="preserve">Containers meet at both rear corners of the 12.192 x 12.192 m bay</t>
  </si>
  <si>
    <t xml:space="preserve">set</t>
  </si>
  <si>
    <t xml:space="preserve">A-03</t>
  </si>
  <si>
    <t xml:space="preserve">Container-to-slab hold-down bracket</t>
  </si>
  <si>
    <t xml:space="preserve">HDG cleat to suit bottom corner casting, M16 chemical-anchor fixing</t>
  </si>
  <si>
    <t xml:space="preserve">4 per container; anchors in group X</t>
  </si>
  <si>
    <t xml:space="preserve">A-04</t>
  </si>
  <si>
    <t xml:space="preserve">Container survey, prep and rail inspection report</t>
  </si>
  <si>
    <t xml:space="preserve">Top side-rail straightness and corner-casting condition recorded per unit</t>
  </si>
  <si>
    <t xml:space="preserve">Top side rails carry the storage-deck bearers — condition is structural</t>
  </si>
  <si>
    <t xml:space="preserve">A-05</t>
  </si>
  <si>
    <t xml:space="preserve">Container repaint system, exterior and cut edges</t>
  </si>
  <si>
    <t xml:space="preserve">2-pack polyurethane over epoxy primer, marine grade; colour advised at order</t>
  </si>
  <si>
    <t xml:space="preserve">Applied after modification group B</t>
  </si>
  <si>
    <t xml:space="preserve">lot</t>
  </si>
  <si>
    <t xml:space="preserve">B</t>
  </si>
  <si>
    <t xml:space="preserve">CONTAINER MODIFICATION &amp; BAY STRUCTURE</t>
  </si>
  <si>
    <t xml:space="preserve">B-01</t>
  </si>
  <si>
    <t xml:space="preserve">Side-wall opening, cut and dressed, 2.288 m w x 2.500 m h</t>
  </si>
  <si>
    <t xml:space="preserve">Cut lines sealed and primed; corrugation edges dressed</t>
  </si>
  <si>
    <t xml:space="preserve">15 openings = 85.8 m2 of stressed skin removed; structural sign-off by principal's engineer before fabrication</t>
  </si>
  <si>
    <t xml:space="preserve">B-02</t>
  </si>
  <si>
    <t xml:space="preserve">Goalpost reinforcement frame at opening (2 posts + head)</t>
  </si>
  <si>
    <t xml:space="preserve">150 PFC G300, welded frame, HDG; weld to AS/NZS 1554.1 SP</t>
  </si>
  <si>
    <t xml:space="preserve">One frame per opening restores racking stiffness lost with the skin</t>
  </si>
  <si>
    <t xml:space="preserve">B-03</t>
  </si>
  <si>
    <t xml:space="preserve">Opening perimeter trim / jamb-head flashing set</t>
  </si>
  <si>
    <t xml:space="preserve">1.2 BMT folded galv steel, colour-matched</t>
  </si>
  <si>
    <t xml:space="preserve">B-04</t>
  </si>
  <si>
    <t xml:space="preserve">Head deflection plate and packer set</t>
  </si>
  <si>
    <t xml:space="preserve">10 mm plate + slotted packers</t>
  </si>
  <si>
    <t xml:space="preserve">Isolates goalpost head from container top-rail deflection</t>
  </si>
  <si>
    <t xml:space="preserve">B-05</t>
  </si>
  <si>
    <t xml:space="preserve">Server compartment fit-out: sealed insulated lining + access door</t>
  </si>
  <si>
    <t xml:space="preserve">Stud-framed lining, 50 mm insulation, sealed gasketed door 820 mm</t>
  </si>
  <si>
    <t xml:space="preserve">1 of the 15 bays is the sealed server compartment</t>
  </si>
  <si>
    <t xml:space="preserve">B-06</t>
  </si>
  <si>
    <t xml:space="preserve">Server compartment fire-rated lining upgrade</t>
  </si>
  <si>
    <t xml:space="preserve">FRL 60/60/60 board system to compartment walls and ceiling</t>
  </si>
  <si>
    <t xml:space="preserve">Certifier acceptance path confirmed by principal</t>
  </si>
  <si>
    <t xml:space="preserve">B-07</t>
  </si>
  <si>
    <t xml:space="preserve">Split air-conditioner for server compartment, 2.5 kW, pre-wired</t>
  </si>
  <si>
    <t xml:space="preserve">RCM marked; R32; wall-mount head + external condenser bracket</t>
  </si>
  <si>
    <t xml:space="preserve">B-08</t>
  </si>
  <si>
    <t xml:space="preserve">Inter-container junction weather seal, full height</t>
  </si>
  <si>
    <t xml:space="preserve">EPDM membrane + folded cover flashing</t>
  </si>
  <si>
    <t xml:space="preserve">2 junctions at the rear corners</t>
  </si>
  <si>
    <t xml:space="preserve">run</t>
  </si>
  <si>
    <t xml:space="preserve">B-09</t>
  </si>
  <si>
    <t xml:space="preserve">Container-top edge kerb angle</t>
  </si>
  <si>
    <t xml:space="preserve">75 x 75 x 6 EA G300, HDG, drilled for bearer fixings</t>
  </si>
  <si>
    <t xml:space="preserve">Perimeter of the 3.001 m storage deck, approx. 44 m</t>
  </si>
  <si>
    <t xml:space="preserve">B-10</t>
  </si>
  <si>
    <t xml:space="preserve">Container door retention / latch-open hardware set</t>
  </si>
  <si>
    <t xml:space="preserve">Galv hold-open stays + padlockable keepers</t>
  </si>
  <si>
    <t xml:space="preserve">Existing container end doors retained</t>
  </si>
  <si>
    <t xml:space="preserve">B-11</t>
  </si>
  <si>
    <t xml:space="preserve">Vent blank-off and roof penetration patch</t>
  </si>
  <si>
    <t xml:space="preserve">Seal-welded patches, primed</t>
  </si>
  <si>
    <t xml:space="preserve">B-12</t>
  </si>
  <si>
    <t xml:space="preserve">In-bay cable duct and lighting channel, per bay</t>
  </si>
  <si>
    <t xml:space="preserve">Galv slotted duct 75 x 50 with lid, bay length</t>
  </si>
  <si>
    <t xml:space="preserve">Feeds bench GPO rail and bay strip light</t>
  </si>
  <si>
    <t xml:space="preserve">B-13</t>
  </si>
  <si>
    <t xml:space="preserve">Container, bay and plant signage set</t>
  </si>
  <si>
    <t xml:space="preserve">Engraved traffolyte + reflective bay numbers</t>
  </si>
  <si>
    <t xml:space="preserve">C</t>
  </si>
  <si>
    <t xml:space="preserve">PRIMARY STEEL — PORTAL FRAMES</t>
  </si>
  <si>
    <t xml:space="preserve">C-01</t>
  </si>
  <si>
    <t xml:space="preserve">Portal column 360 UB 44.7, cut length approx. 6.90 m</t>
  </si>
  <si>
    <t xml:space="preserve">AS/NZS 3679.1 grade 300; fabrication AS/NZS 5131 CC2</t>
  </si>
  <si>
    <t xml:space="preserve">6 frames x 2 columns; eave height 6.896 m</t>
  </si>
  <si>
    <t xml:space="preserve">C-02</t>
  </si>
  <si>
    <t xml:space="preserve">Portal rafter 360 UB 44.7, cut length approx. 8.85 m</t>
  </si>
  <si>
    <t xml:space="preserve">AS/NZS 3679.1 grade 300; 10.0 deg pitch; span 17.420 m</t>
  </si>
  <si>
    <t xml:space="preserve">6 frames x 2 rafters</t>
  </si>
  <si>
    <t xml:space="preserve">C-03</t>
  </si>
  <si>
    <t xml:space="preserve">Eave haunch cutting ex 360 UB 44.7, approx. 1.75 m, with web plate</t>
  </si>
  <si>
    <t xml:space="preserve">Profile-cut ex parent section; weld AS/NZS 1554.1 SP</t>
  </si>
  <si>
    <t xml:space="preserve">Haunch soffit at 6.082 m governs crane clearance — hold this dimension</t>
  </si>
  <si>
    <t xml:space="preserve">C-04</t>
  </si>
  <si>
    <t xml:space="preserve">Apex haunch / connection plate pair</t>
  </si>
  <si>
    <t xml:space="preserve">20 mm plate grade 350, match-drilled</t>
  </si>
  <si>
    <t xml:space="preserve">C-05</t>
  </si>
  <si>
    <t xml:space="preserve">Column base plate 350 x 350 x 25 with stiffeners</t>
  </si>
  <si>
    <t xml:space="preserve">Grade 250 plate, shop-welded to column</t>
  </si>
  <si>
    <t xml:space="preserve">C-06</t>
  </si>
  <si>
    <t xml:space="preserve">Gable / end-wall post 250 UB 25.7, lengths 6.0 - 8.4 m</t>
  </si>
  <si>
    <t xml:space="preserve">AS/NZS 3679.1 grade 300</t>
  </si>
  <si>
    <t xml:space="preserve">Front and rear gables; supports girts and door framing</t>
  </si>
  <si>
    <t xml:space="preserve">C-07</t>
  </si>
  <si>
    <t xml:space="preserve">Roller-door portal: jamb posts + head beam ex 250 UB</t>
  </si>
  <si>
    <t xml:space="preserve">Head gives 2.875 m clear above the 4.0 x 4.0 m opening</t>
  </si>
  <si>
    <t xml:space="preserve">C-08</t>
  </si>
  <si>
    <t xml:space="preserve">Holding-down bolt assembly M24 grade 4.6 HDG, cast-in, with template</t>
  </si>
  <si>
    <t xml:space="preserve">AS/NZS 4680 galv; 4 bolts per column + ply setting template</t>
  </si>
  <si>
    <t xml:space="preserve">Templates ship first if requested — pits and slab are local works</t>
  </si>
  <si>
    <t xml:space="preserve">C-09</t>
  </si>
  <si>
    <t xml:space="preserve">Structural bolt sets M20/M24 PC 8.8 HDG</t>
  </si>
  <si>
    <t xml:space="preserve">AS/NZS 1252 assemblies, batch-certified</t>
  </si>
  <si>
    <t xml:space="preserve">All frame, splice and bracket connections</t>
  </si>
  <si>
    <t xml:space="preserve">C-10</t>
  </si>
  <si>
    <t xml:space="preserve">Purlin, girt, fly-brace and bracket cleats, shop-welded</t>
  </si>
  <si>
    <t xml:space="preserve">Grade 250/300 fittings</t>
  </si>
  <si>
    <t xml:space="preserve">C-11</t>
  </si>
  <si>
    <t xml:space="preserve">Fabrication allowance: connection plates, stiffeners, shims</t>
  </si>
  <si>
    <t xml:space="preserve">Grade 250/300</t>
  </si>
  <si>
    <t xml:space="preserve">Balancing allowance within the 20.7 t scheduled steel</t>
  </si>
  <si>
    <t xml:space="preserve">C-12</t>
  </si>
  <si>
    <t xml:space="preserve">Surface protection, all group C-F steel</t>
  </si>
  <si>
    <t xml:space="preserve">Abrasive blast Sa2.5; HDG AS/NZS 4680, or duplex HDG + PU topcoat where noted</t>
  </si>
  <si>
    <t xml:space="preserve">Quote as rate per tonne; mass carried on member lines</t>
  </si>
  <si>
    <t xml:space="preserve">D</t>
  </si>
  <si>
    <t xml:space="preserve">SECONDARY STEEL — PURLINS, GIRTS, CANOPIES</t>
  </si>
  <si>
    <t xml:space="preserve">D-01</t>
  </si>
  <si>
    <t xml:space="preserve">Roof purlin Z200-19, punched, with laps</t>
  </si>
  <si>
    <t xml:space="preserve">AS 1397 G450 Z350; AS/NZS 4600 design</t>
  </si>
  <si>
    <t xml:space="preserve">15 purlin lines front to back; 219.5 m net + laps</t>
  </si>
  <si>
    <t xml:space="preserve">D-02</t>
  </si>
  <si>
    <t xml:space="preserve">Wall girt Z200-15, punched</t>
  </si>
  <si>
    <t xml:space="preserve">AS 1397 G450 Z350</t>
  </si>
  <si>
    <t xml:space="preserve">Side walls and both gables</t>
  </si>
  <si>
    <t xml:space="preserve">D-03</t>
  </si>
  <si>
    <t xml:space="preserve">Eave strut C200-19</t>
  </si>
  <si>
    <t xml:space="preserve">Both eaves, 14.63 m each</t>
  </si>
  <si>
    <t xml:space="preserve">D-04</t>
  </si>
  <si>
    <t xml:space="preserve">Ridge purlin pair + ridge ties</t>
  </si>
  <si>
    <t xml:space="preserve">Z200-19 + tie straps</t>
  </si>
  <si>
    <t xml:space="preserve">D-05</t>
  </si>
  <si>
    <t xml:space="preserve">Roof purlin bridging rows</t>
  </si>
  <si>
    <t xml:space="preserve">Proprietary bridging, 3 rows per slope</t>
  </si>
  <si>
    <t xml:space="preserve">D-06</t>
  </si>
  <si>
    <t xml:space="preserve">Wall girt bridging</t>
  </si>
  <si>
    <t xml:space="preserve">Proprietary bridging</t>
  </si>
  <si>
    <t xml:space="preserve">D-07</t>
  </si>
  <si>
    <t xml:space="preserve">Fly braces, rafter to purlin</t>
  </si>
  <si>
    <t xml:space="preserve">40 x 40 x 4 EA, HDG</t>
  </si>
  <si>
    <t xml:space="preserve">D-08</t>
  </si>
  <si>
    <t xml:space="preserve">Personnel-door frames and head/sill trimmers</t>
  </si>
  <si>
    <t xml:space="preserve">Folded galv steel frames for 2 doorsets</t>
  </si>
  <si>
    <t xml:space="preserve">D-09</t>
  </si>
  <si>
    <t xml:space="preserve">Canopy frame over roller door, approx. 4.5 x 1.2 m cantilever</t>
  </si>
  <si>
    <t xml:space="preserve">SHS 75 x 75 x 4 frame, HDG</t>
  </si>
  <si>
    <t xml:space="preserve">Cladding in group I</t>
  </si>
  <si>
    <t xml:space="preserve">D-10</t>
  </si>
  <si>
    <t xml:space="preserve">Canopy frame over personnel door, approx. 1.5 x 1.0 m</t>
  </si>
  <si>
    <t xml:space="preserve">SHS 65 x 65 x 3 frame, HDG</t>
  </si>
  <si>
    <t xml:space="preserve">D-11</t>
  </si>
  <si>
    <t xml:space="preserve">Service-reel hood frame, approx. 3.2 x 0.7 m, front wall</t>
  </si>
  <si>
    <t xml:space="preserve">SHS 50 x 50 x 3 + folded hood support brackets</t>
  </si>
  <si>
    <t xml:space="preserve">Reel bank sits 0.504 m clear of the roller-door opening</t>
  </si>
  <si>
    <t xml:space="preserve">E</t>
  </si>
  <si>
    <t xml:space="preserve">BRACING</t>
  </si>
  <si>
    <t xml:space="preserve">E-01</t>
  </si>
  <si>
    <t xml:space="preserve">Roof plane rod bracing M20 with turnbuckles</t>
  </si>
  <si>
    <t xml:space="preserve">Grade 4.6 rod, HDG; 2 braced bays, both slopes</t>
  </si>
  <si>
    <t xml:space="preserve">E-02</t>
  </si>
  <si>
    <t xml:space="preserve">Wall K-bracing SHS 89 x 89 x 5</t>
  </si>
  <si>
    <t xml:space="preserve">AS/NZS 1163 C350, HDG; 2 walls x 2 bays</t>
  </si>
  <si>
    <t xml:space="preserve">E-03</t>
  </si>
  <si>
    <t xml:space="preserve">Longitudinal strut tubes CHS 114 x 4.5 (apex + mid-slope lines)</t>
  </si>
  <si>
    <t xml:space="preserve">AS/NZS 1163 C350, HDG; 3 lines x 14.63 m</t>
  </si>
  <si>
    <t xml:space="preserve">E-04</t>
  </si>
  <si>
    <t xml:space="preserve">Gable bracing rods and fittings</t>
  </si>
  <si>
    <t xml:space="preserve">M16 rod, HDG</t>
  </si>
  <si>
    <t xml:space="preserve">E-05</t>
  </si>
  <si>
    <t xml:space="preserve">Bracing cleats and gusset plates</t>
  </si>
  <si>
    <t xml:space="preserve">Grade 250 plate</t>
  </si>
  <si>
    <t xml:space="preserve">E-06</t>
  </si>
  <si>
    <t xml:space="preserve">Turnbuckles and clevises M20</t>
  </si>
  <si>
    <t xml:space="preserve">Rated, galv</t>
  </si>
  <si>
    <t xml:space="preserve">F</t>
  </si>
  <si>
    <t xml:space="preserve">CRANE RUNWAY</t>
  </si>
  <si>
    <t xml:space="preserve">F-01</t>
  </si>
  <si>
    <t xml:space="preserve">Runway beam 310 UB 46.2, two-span continuous lengths approx. 7.55 m</t>
  </si>
  <si>
    <t xml:space="preserve">AS/NZS 3679.1 grade 300; design interface AS 1418.18</t>
  </si>
  <si>
    <t xml:space="preserve">2 runs x 14.8 m; rail top of steel 5.254 m</t>
  </si>
  <si>
    <t xml:space="preserve">F-02</t>
  </si>
  <si>
    <t xml:space="preserve">Runway support corbel bracket with column web stiffening</t>
  </si>
  <si>
    <t xml:space="preserve">Shop-welded to portal columns, match-marked</t>
  </si>
  <si>
    <t xml:space="preserve">12 brackets, one per column</t>
  </si>
  <si>
    <t xml:space="preserve">F-03</t>
  </si>
  <si>
    <t xml:space="preserve">Crane rail, 50 x 30 machined flat bar</t>
  </si>
  <si>
    <t xml:space="preserve">Grade 350, drilled for clips</t>
  </si>
  <si>
    <t xml:space="preserve">2 runs x 14.8 m</t>
  </si>
  <si>
    <t xml:space="preserve">F-04</t>
  </si>
  <si>
    <t xml:space="preserve">Rail clips with resilient pads</t>
  </si>
  <si>
    <t xml:space="preserve">Proprietary clip system</t>
  </si>
  <si>
    <t xml:space="preserve">F-05</t>
  </si>
  <si>
    <t xml:space="preserve">Runway splice plate sets with bolts</t>
  </si>
  <si>
    <t xml:space="preserve">Grade 350 plate, PC 8.8 bolts</t>
  </si>
  <si>
    <t xml:space="preserve">F-06</t>
  </si>
  <si>
    <t xml:space="preserve">Runway end stops with elastomeric buffers</t>
  </si>
  <si>
    <t xml:space="preserve">Rated for 2 t crane at full LT speed</t>
  </si>
  <si>
    <t xml:space="preserve">F-07</t>
  </si>
  <si>
    <t xml:space="preserve">Runway alignment shim packs and survey record</t>
  </si>
  <si>
    <t xml:space="preserve">Stainless shim packs; alignment tolerance per AS 1418.18</t>
  </si>
  <si>
    <t xml:space="preserve">F-08</t>
  </si>
  <si>
    <t xml:space="preserve">Festoon / conductor support brackets along runway</t>
  </si>
  <si>
    <t xml:space="preserve">Galv brackets at 2 m centres</t>
  </si>
  <si>
    <t xml:space="preserve">G</t>
  </si>
  <si>
    <t xml:space="preserve">OVERHEAD CRANE, 2000 KG</t>
  </si>
  <si>
    <t xml:space="preserve">G-01</t>
  </si>
  <si>
    <t xml:space="preserve">Single-girder EOT crane, SWL 2000 kg, span 17.420 m</t>
  </si>
  <si>
    <t xml:space="preserve">AS 1418.1; duty FEM/ISO M5; girder deflection limit 29 mm (design 26 mm)</t>
  </si>
  <si>
    <t xml:space="preserve">Hook height 5.154 m; reaches 1.914 m over each container top</t>
  </si>
  <si>
    <t xml:space="preserve">G-02</t>
  </si>
  <si>
    <t xml:space="preserve">Electric wire-rope/chain hoist 2 t, dual speed, lift approx. 5.2 m</t>
  </si>
  <si>
    <t xml:space="preserve">Duty M5; low-headroom trolley</t>
  </si>
  <si>
    <t xml:space="preserve">May be integral to G-01 — state make/model</t>
  </si>
  <si>
    <t xml:space="preserve">G-03</t>
  </si>
  <si>
    <t xml:space="preserve">End carriages with dual-speed LT drives and soft start</t>
  </si>
  <si>
    <t xml:space="preserve">Machined wheels to suit F-03 rail</t>
  </si>
  <si>
    <t xml:space="preserve">G-04</t>
  </si>
  <si>
    <t xml:space="preserve">Cross-travel and long-travel festoon / energy chain system</t>
  </si>
  <si>
    <t xml:space="preserve">Flat cable festoon, galv track</t>
  </si>
  <si>
    <t xml:space="preserve">G-05</t>
  </si>
  <si>
    <t xml:space="preserve">Radio remote control, hold-to-run, + wired pendant backup</t>
  </si>
  <si>
    <t xml:space="preserve">Hold-to-run is a life-safety requirement — no latching motion controls</t>
  </si>
  <si>
    <t xml:space="preserve">G-06</t>
  </si>
  <si>
    <t xml:space="preserve">Overload limiter, height limit and slack-rope protection</t>
  </si>
  <si>
    <t xml:space="preserve">Calibrated, test certificates supplied</t>
  </si>
  <si>
    <t xml:space="preserve">G-07</t>
  </si>
  <si>
    <t xml:space="preserve">LT travel limit switches and end-of-travel damping</t>
  </si>
  <si>
    <t xml:space="preserve">G-08</t>
  </si>
  <si>
    <t xml:space="preserve">Crane isolator and runway feed</t>
  </si>
  <si>
    <t xml:space="preserve">Lockable isolator; supply cable to festoon</t>
  </si>
  <si>
    <t xml:space="preserve">G-09</t>
  </si>
  <si>
    <t xml:space="preserve">Commissioning spares kit</t>
  </si>
  <si>
    <t xml:space="preserve">Contactors, limit switch, brake pads, wheel</t>
  </si>
  <si>
    <t xml:space="preserve">125% load test performed in Australia at commissioning</t>
  </si>
  <si>
    <t xml:space="preserve">H</t>
  </si>
  <si>
    <t xml:space="preserve">ENVELOPE — PIR PANELS, FLASHINGS, RAINWATER</t>
  </si>
  <si>
    <t xml:space="preserve">H-01</t>
  </si>
  <si>
    <t xml:space="preserve">Roof sandwich panel, 100 mm PIR core, trapezoidal outer skin</t>
  </si>
  <si>
    <t xml:space="preserve">0.5/0.4 BMT colour steel faces; FM 4880 approval or AS 1530.4 full test evidence required</t>
  </si>
  <si>
    <t xml:space="preserve">Both slopes; slope length 8.845 m; U-value &lt;= 0.25 W/m2K</t>
  </si>
  <si>
    <t xml:space="preserve">m2</t>
  </si>
  <si>
    <t xml:space="preserve">H-02</t>
  </si>
  <si>
    <t xml:space="preserve">Wall and gable sandwich panel, 100 mm PIR core</t>
  </si>
  <si>
    <t xml:space="preserve">As H-01; vertical lay</t>
  </si>
  <si>
    <t xml:space="preserve">607 m2 total envelope with H-01</t>
  </si>
  <si>
    <t xml:space="preserve">H-03</t>
  </si>
  <si>
    <t xml:space="preserve">Ridge capping, vented, with profile closures</t>
  </si>
  <si>
    <t xml:space="preserve">0.55 BMT folded, colour-matched</t>
  </si>
  <si>
    <t xml:space="preserve">H-04</t>
  </si>
  <si>
    <t xml:space="preserve">Barge cappings</t>
  </si>
  <si>
    <t xml:space="preserve">0.55 BMT folded</t>
  </si>
  <si>
    <t xml:space="preserve">4 x 8.9 m</t>
  </si>
  <si>
    <t xml:space="preserve">H-05</t>
  </si>
  <si>
    <t xml:space="preserve">Corner flashings</t>
  </si>
  <si>
    <t xml:space="preserve">H-06</t>
  </si>
  <si>
    <t xml:space="preserve">Base / drip flashing and panel base channel</t>
  </si>
  <si>
    <t xml:space="preserve">Galv channel + folded drip</t>
  </si>
  <si>
    <t xml:space="preserve">Full perimeter approx. 63.4 m</t>
  </si>
  <si>
    <t xml:space="preserve">H-07</t>
  </si>
  <si>
    <t xml:space="preserve">Eaves gutter, high-capacity, with brackets</t>
  </si>
  <si>
    <t xml:space="preserve">0.55 BMT; brackets at 600 crs</t>
  </si>
  <si>
    <t xml:space="preserve">Both eaves</t>
  </si>
  <si>
    <t xml:space="preserve">H-08</t>
  </si>
  <si>
    <t xml:space="preserve">Downpipes 100 x 75 with astragals</t>
  </si>
  <si>
    <t xml:space="preserve">Colour steel</t>
  </si>
  <si>
    <t xml:space="preserve">4 off, eave height 6.9 m</t>
  </si>
  <si>
    <t xml:space="preserve">H-09</t>
  </si>
  <si>
    <t xml:space="preserve">Roller and personnel door head/jamb flashing sets</t>
  </si>
  <si>
    <t xml:space="preserve">H-10</t>
  </si>
  <si>
    <t xml:space="preserve">Panel fasteners: load-bearing and stitching screws</t>
  </si>
  <si>
    <t xml:space="preserve">Class 4 coating, EPDM sealed</t>
  </si>
  <si>
    <t xml:space="preserve">H-11</t>
  </si>
  <si>
    <t xml:space="preserve">Butyl tape, gunnable sealant, closed-cell closures</t>
  </si>
  <si>
    <t xml:space="preserve">Panel-system approved</t>
  </si>
  <si>
    <t xml:space="preserve">H-12</t>
  </si>
  <si>
    <t xml:space="preserve">Rear-gable exhaust fan penetration trims and weather cowls</t>
  </si>
  <si>
    <t xml:space="preserve">0.55 BMT + mesh</t>
  </si>
  <si>
    <t xml:space="preserve">Fans moved off the roof so nothing penetrates the array</t>
  </si>
  <si>
    <t xml:space="preserve">H-13</t>
  </si>
  <si>
    <t xml:space="preserve">Exhaust fan, 450 mm axial, 2-speed, gable-mounted</t>
  </si>
  <si>
    <t xml:space="preserve">RCM marked; controls interface to group U</t>
  </si>
  <si>
    <t xml:space="preserve">I</t>
  </si>
  <si>
    <t xml:space="preserve">DOORS</t>
  </si>
  <si>
    <t xml:space="preserve">I-01</t>
  </si>
  <si>
    <t xml:space="preserve">Insulated roller shutter 4.0 x 4.0 m, motorised</t>
  </si>
  <si>
    <t xml:space="preserve">Wind-rated per AS/NZS 1170.2 site category (TBC); 3-phase drive; manual haul-chain backup</t>
  </si>
  <si>
    <t xml:space="preserve">2.875 m clear above the head beam</t>
  </si>
  <si>
    <t xml:space="preserve">I-02</t>
  </si>
  <si>
    <t xml:space="preserve">Roller door safety package: bottom edge, photocells, battery release</t>
  </si>
  <si>
    <t xml:space="preserve">Monitored safety edge; RCM marked controls</t>
  </si>
  <si>
    <t xml:space="preserve">I-03</t>
  </si>
  <si>
    <t xml:space="preserve">Personnel doorset 920 x 2040, insulated steel leaf</t>
  </si>
  <si>
    <t xml:space="preserve">Lever egress hardware — mechanical, no power or credential to exit (life-safety)</t>
  </si>
  <si>
    <t xml:space="preserve">I-04</t>
  </si>
  <si>
    <t xml:space="preserve">Door closer and weather seal set</t>
  </si>
  <si>
    <t xml:space="preserve">I-05</t>
  </si>
  <si>
    <t xml:space="preserve">Electric strike, entry side only, egress unaffected</t>
  </si>
  <si>
    <t xml:space="preserve">Fail-secure entry; mechanical lever egress always free</t>
  </si>
  <si>
    <t xml:space="preserve">Works with group U credential readers</t>
  </si>
  <si>
    <t xml:space="preserve">I-06</t>
  </si>
  <si>
    <t xml:space="preserve">Roller-door canopy cladding and flashings</t>
  </si>
  <si>
    <t xml:space="preserve">PIR / colour steel to match envelope (frame in D-09)</t>
  </si>
  <si>
    <t xml:space="preserve">I-07</t>
  </si>
  <si>
    <t xml:space="preserve">Personnel-door canopy cladding and flashings</t>
  </si>
  <si>
    <t xml:space="preserve">As I-06 (frame in D-10)</t>
  </si>
  <si>
    <t xml:space="preserve">I-08</t>
  </si>
  <si>
    <t xml:space="preserve">Security hardware: padbolts, hasps, key cylinders keyed alike</t>
  </si>
  <si>
    <t xml:space="preserve">J</t>
  </si>
  <si>
    <t xml:space="preserve">CONTAINER-TOP STORAGE DECK &amp; RACKING</t>
  </si>
  <si>
    <t xml:space="preserve">J-01</t>
  </si>
  <si>
    <t xml:space="preserve">Deck bearer RHS 100 x 50 x 4, length approx. 2.55 m</t>
  </si>
  <si>
    <t xml:space="preserve">AS/NZS 1163 C350, HDG; spans container width onto both top side rails</t>
  </si>
  <si>
    <t xml:space="preserve">33 bearers at 1219 mm centres; design UDL 2.5 kPa (subframe design to be verified by principal's engineer)</t>
  </si>
  <si>
    <t xml:space="preserve">J-02</t>
  </si>
  <si>
    <t xml:space="preserve">Storage-zone grating, F/L 32 x 5, HDG</t>
  </si>
  <si>
    <t xml:space="preserve">AS 1657 compliant walking surface; banded panels</t>
  </si>
  <si>
    <t xml:space="preserve">Approx. 55.5 m2 of the 89.2 m2 deck</t>
  </si>
  <si>
    <t xml:space="preserve">J-03</t>
  </si>
  <si>
    <t xml:space="preserve">Walkway grating, 900 mm wide run</t>
  </si>
  <si>
    <t xml:space="preserve">As J-02</t>
  </si>
  <si>
    <t xml:space="preserve">33.7 m2 around the deck inner edge</t>
  </si>
  <si>
    <t xml:space="preserve">J-04</t>
  </si>
  <si>
    <t xml:space="preserve">Grating hold-down clips and fixings</t>
  </si>
  <si>
    <t xml:space="preserve">Galv saddle clips</t>
  </si>
  <si>
    <t xml:space="preserve">J-05</t>
  </si>
  <si>
    <t xml:space="preserve">Deck tie-down / lashing points, 1 t rated</t>
  </si>
  <si>
    <t xml:space="preserve">Bolt-on, rated and tagged</t>
  </si>
  <si>
    <t xml:space="preserve">J-06</t>
  </si>
  <si>
    <t xml:space="preserve">Racking end frames, 1.5 m h x 0.6 m d, HDG</t>
  </si>
  <si>
    <t xml:space="preserve">AS 4084; height limited to 1.5 m by crane girder clearance</t>
  </si>
  <si>
    <t xml:space="preserve">5 bays, total capacity 7500 kg</t>
  </si>
  <si>
    <t xml:space="preserve">J-07</t>
  </si>
  <si>
    <t xml:space="preserve">Racking beam pairs, 2.4 m, 750 kg per level</t>
  </si>
  <si>
    <t xml:space="preserve">AS 4084, safety locks</t>
  </si>
  <si>
    <t xml:space="preserve">2 levels per bay</t>
  </si>
  <si>
    <t xml:space="preserve">pr</t>
  </si>
  <si>
    <t xml:space="preserve">J-08</t>
  </si>
  <si>
    <t xml:space="preserve">Racking mesh deck panels</t>
  </si>
  <si>
    <t xml:space="preserve">Galv mesh, 1200 x 600</t>
  </si>
  <si>
    <t xml:space="preserve">J-09</t>
  </si>
  <si>
    <t xml:space="preserve">Racking base plates, deck fixings and SWL signage</t>
  </si>
  <si>
    <t xml:space="preserve">AS 4084 load signs</t>
  </si>
  <si>
    <t xml:space="preserve">J-10</t>
  </si>
  <si>
    <t xml:space="preserve">Stored-item height gauge and 1.903 m envelope marking</t>
  </si>
  <si>
    <t xml:space="preserve">Powder-coated gauge bar + line marking</t>
  </si>
  <si>
    <t xml:space="preserve">Max craned item height on the deck is 1.903 m</t>
  </si>
  <si>
    <t xml:space="preserve">K</t>
  </si>
  <si>
    <t xml:space="preserve">STAIR, WALKWAY EDGE PROTECTION</t>
  </si>
  <si>
    <t xml:space="preserve">K-01</t>
  </si>
  <si>
    <t xml:space="preserve">Stair, 2 flights x 8 risers, 900 mm wide, grating treads</t>
  </si>
  <si>
    <t xml:space="preserve">AS 1657; rise 188 mm, going 216 mm; total rise 3.008 m</t>
  </si>
  <si>
    <t xml:space="preserve">Fits the 2.438 m corner void with 128 mm to spare</t>
  </si>
  <si>
    <t xml:space="preserve">K-02</t>
  </si>
  <si>
    <t xml:space="preserve">Mid landing 900 x 900 with posts</t>
  </si>
  <si>
    <t xml:space="preserve">AS 1657; grating top</t>
  </si>
  <si>
    <t xml:space="preserve">K-03</t>
  </si>
  <si>
    <t xml:space="preserve">Stair balustrade, both sides, with handrails</t>
  </si>
  <si>
    <t xml:space="preserve">AS 1657, HDG</t>
  </si>
  <si>
    <t xml:space="preserve">K-04</t>
  </si>
  <si>
    <t xml:space="preserve">Deck edge guardrail: top + mid rail + kickplate</t>
  </si>
  <si>
    <t xml:space="preserve">40 NB CHS, HDG, AS 1657; stanchions to bearers</t>
  </si>
  <si>
    <t xml:space="preserve">Approx. 40 m of open edge</t>
  </si>
  <si>
    <t xml:space="preserve">K-05</t>
  </si>
  <si>
    <t xml:space="preserve">Self-closing gate at stair head</t>
  </si>
  <si>
    <t xml:space="preserve">AS 1657, sprung hinges</t>
  </si>
  <si>
    <t xml:space="preserve">K-06</t>
  </si>
  <si>
    <t xml:space="preserve">Maintenance anchor points, roof/array access</t>
  </si>
  <si>
    <t xml:space="preserve">AS/NZS 1891 rated, tagged, 4 off</t>
  </si>
  <si>
    <t xml:space="preserve">K-07</t>
  </si>
  <si>
    <t xml:space="preserve">Guardrail and stair fixing sets</t>
  </si>
  <si>
    <t xml:space="preserve">HDG bolt sets</t>
  </si>
  <si>
    <t xml:space="preserve">K-08</t>
  </si>
  <si>
    <t xml:space="preserve">Deck safety signage: 2.5 kPa SWL, stair and gate signs</t>
  </si>
  <si>
    <t xml:space="preserve">L</t>
  </si>
  <si>
    <t xml:space="preserve">IN-GROUND VEHICLE LIFTS, 4 X 6 T</t>
  </si>
  <si>
    <t xml:space="preserve">L-01</t>
  </si>
  <si>
    <t xml:space="preserve">In-ground telescopic lift cassette, 6000 kg, 3-stage, 3.0 m stroke</t>
  </si>
  <si>
    <t xml:space="preserve">Stage bores 180/140/100 mm; buckling SF 4.57 at 6 t full extension; AS/NZS 1418.9</t>
  </si>
  <si>
    <t xml:space="preserve">Cassette includes steel pit box for casting-in; pits on a 4.0 x 3.5 m grid</t>
  </si>
  <si>
    <t xml:space="preserve">L-02</t>
  </si>
  <si>
    <t xml:space="preserve">Flush drive-over cover system per lift</t>
  </si>
  <si>
    <t xml:space="preserve">Load-rated covers, anti-slip, flush with slab</t>
  </si>
  <si>
    <t xml:space="preserve">L-03</t>
  </si>
  <si>
    <t xml:space="preserve">Removable cross beams / pick-up adaptors with storage trolley</t>
  </si>
  <si>
    <t xml:space="preserve">Rated 6 t per lift position</t>
  </si>
  <si>
    <t xml:space="preserve">L-04</t>
  </si>
  <si>
    <t xml:space="preserve">Rack-and-pawl mechanical lock assembly per lift</t>
  </si>
  <si>
    <t xml:space="preserve">Engages under load independent of hydraulics — valves control the load, they never hold it</t>
  </si>
  <si>
    <t xml:space="preserve">One of nine independent safety barriers</t>
  </si>
  <si>
    <t xml:space="preserve">L-05</t>
  </si>
  <si>
    <t xml:space="preserve">Proportional flow/pressure valve section per lift</t>
  </si>
  <si>
    <t xml:space="preserve">ISO 4413; on manifold M-02</t>
  </si>
  <si>
    <t xml:space="preserve">L-06</t>
  </si>
  <si>
    <t xml:space="preserve">Position encoder and synchronisation sensor set per lift</t>
  </si>
  <si>
    <t xml:space="preserve">Cross-checked pair per lift</t>
  </si>
  <si>
    <t xml:space="preserve">L-07</t>
  </si>
  <si>
    <t xml:space="preserve">Pit-edge seal and debris excluder set</t>
  </si>
  <si>
    <t xml:space="preserve">L-08</t>
  </si>
  <si>
    <t xml:space="preserve">Lift control station: hold-to-run, E-stop, key isolation</t>
  </si>
  <si>
    <t xml:space="preserve">Hold-to-run is a life-safety requirement</t>
  </si>
  <si>
    <t xml:space="preserve">L-09</t>
  </si>
  <si>
    <t xml:space="preserve">Support stands / props, 6 t, for service work</t>
  </si>
  <si>
    <t xml:space="preserve">Rated and tagged</t>
  </si>
  <si>
    <t xml:space="preserve">L-10</t>
  </si>
  <si>
    <t xml:space="preserve">Design registration dossier for Australian registrable plant</t>
  </si>
  <si>
    <t xml:space="preserve">Full design calcs, FMEA, drawings, test reports per AS/NZS 1418.9 for state-regulator design registration</t>
  </si>
  <si>
    <t xml:space="preserve">CRITICAL PATH: registration pathway must be resolved before pits are poured</t>
  </si>
  <si>
    <t xml:space="preserve">M</t>
  </si>
  <si>
    <t xml:space="preserve">HYDRAULIC POWER UNIT &amp; RETICULATION</t>
  </si>
  <si>
    <t xml:space="preserve">M-01</t>
  </si>
  <si>
    <t xml:space="preserve">Hydraulic power unit 15 kW, 100 L/min, 300 L reservoir</t>
  </si>
  <si>
    <t xml:space="preserve">ISO 4413; 415 V 3-phase; relief set above 74.9 bar stage-3 working pressure</t>
  </si>
  <si>
    <t xml:space="preserve">Full lift of all four cassettes in 117 s at 100 L/min; swept volume 194.8 L</t>
  </si>
  <si>
    <t xml:space="preserve">M-02</t>
  </si>
  <si>
    <t xml:space="preserve">Proportional manifold block, 4 sections, relief + unloader</t>
  </si>
  <si>
    <t xml:space="preserve">Houses L-05 valve sections</t>
  </si>
  <si>
    <t xml:space="preserve">M-03</t>
  </si>
  <si>
    <t xml:space="preserve">Pressure transducers and gauges, per stage circuit</t>
  </si>
  <si>
    <t xml:space="preserve">4-20 mA, glycerine gauges</t>
  </si>
  <si>
    <t xml:space="preserve">M-04</t>
  </si>
  <si>
    <t xml:space="preserve">Pressure and return filtration with clog indicators</t>
  </si>
  <si>
    <t xml:space="preserve">10 micron return, 25 micron pressure</t>
  </si>
  <si>
    <t xml:space="preserve">M-05</t>
  </si>
  <si>
    <t xml:space="preserve">Air-blast oil cooler with thermostat</t>
  </si>
  <si>
    <t xml:space="preserve">M-06</t>
  </si>
  <si>
    <t xml:space="preserve">Reservoir level / temperature sensor with low-level interlock</t>
  </si>
  <si>
    <t xml:space="preserve">M-07</t>
  </si>
  <si>
    <t xml:space="preserve">Hard piping, zinc-nickel plated steel, DN20/DN12, with fittings</t>
  </si>
  <si>
    <t xml:space="preserve">Approx. 90 m total to 4 pits</t>
  </si>
  <si>
    <t xml:space="preserve">M-08</t>
  </si>
  <si>
    <t xml:space="preserve">Hose-burst check valve at each cylinder port</t>
  </si>
  <si>
    <t xml:space="preserve">ISO 8643 type</t>
  </si>
  <si>
    <t xml:space="preserve">M-09</t>
  </si>
  <si>
    <t xml:space="preserve">Flexible hose sets, pit wall to cassette</t>
  </si>
  <si>
    <t xml:space="preserve">2-wire braid, tested</t>
  </si>
  <si>
    <t xml:space="preserve">M-10</t>
  </si>
  <si>
    <t xml:space="preserve">Drain, sampling and bleed points</t>
  </si>
  <si>
    <t xml:space="preserve">M-11</t>
  </si>
  <si>
    <t xml:space="preserve">First-fill hydraulic oil, ISO VG 46, approx. 300 L</t>
  </si>
  <si>
    <t xml:space="preserve">Ship system dry; oil filled locally</t>
  </si>
  <si>
    <t xml:space="preserve">LOCAL</t>
  </si>
  <si>
    <t xml:space="preserve">N</t>
  </si>
  <si>
    <t xml:space="preserve">PLANT SUMP FIT-OUT</t>
  </si>
  <si>
    <t xml:space="preserve">N-01</t>
  </si>
  <si>
    <t xml:space="preserve">Sump steel liner / bund box 2.4 x 1.6 x 1.8 m, for casting-in</t>
  </si>
  <si>
    <t xml:space="preserve">6 mm plate, stiffened, seal-welded, bitumen-coated externally</t>
  </si>
  <si>
    <t xml:space="preserve">Bund holds 6912 L against a 330 L requirement; the sump IS the bund</t>
  </si>
  <si>
    <t xml:space="preserve">N-02</t>
  </si>
  <si>
    <t xml:space="preserve">Trafficable flush cover panels, gasketed, lift-out</t>
  </si>
  <si>
    <t xml:space="preserve">Rated for workshop traffic; lifting keys supplied</t>
  </si>
  <si>
    <t xml:space="preserve">N-03</t>
  </si>
  <si>
    <t xml:space="preserve">Access ladder and retrieval anchor point</t>
  </si>
  <si>
    <t xml:space="preserve">AS 1657 ladder; confined-space retrieval point</t>
  </si>
  <si>
    <t xml:space="preserve">The sump is a confined space with oil and live electrical gear</t>
  </si>
  <si>
    <t xml:space="preserve">N-04</t>
  </si>
  <si>
    <t xml:space="preserve">Mechanical ventilation: fan 83 m3/h + ducting to rear gable + louvre</t>
  </si>
  <si>
    <t xml:space="preserve">12 air changes per hour, runs whenever HPU is energised</t>
  </si>
  <si>
    <t xml:space="preserve">N-05</t>
  </si>
  <si>
    <t xml:space="preserve">Oil-in-water sensor, sump pump interlock</t>
  </si>
  <si>
    <t xml:space="preserve">Interlocked so the sump pump cannot discharge oil</t>
  </si>
  <si>
    <t xml:space="preserve">Counted in the 61-point sensor schedule</t>
  </si>
  <si>
    <t xml:space="preserve">N-06</t>
  </si>
  <si>
    <t xml:space="preserve">Sump pump, automatic, with interlock relay</t>
  </si>
  <si>
    <t xml:space="preserve">Submersible, 240 V, oil-interlocked via N-05</t>
  </si>
  <si>
    <t xml:space="preserve">N-07</t>
  </si>
  <si>
    <t xml:space="preserve">High-level alarm float and local beacon</t>
  </si>
  <si>
    <t xml:space="preserve">N-08</t>
  </si>
  <si>
    <t xml:space="preserve">Sump LED luminaire and IP66 socket outlet</t>
  </si>
  <si>
    <t xml:space="preserve">Low-voltage luminaire; RCD-protected outlet</t>
  </si>
  <si>
    <t xml:space="preserve">N-09</t>
  </si>
  <si>
    <t xml:space="preserve">Confined-space signage and entry-control kit</t>
  </si>
  <si>
    <t xml:space="preserve">O</t>
  </si>
  <si>
    <t xml:space="preserve">FLOOR DRAINAGE INTERFACES</t>
  </si>
  <si>
    <t xml:space="preserve">O-01</t>
  </si>
  <si>
    <t xml:space="preserve">Trench drain, galv edge rails + class D grates, 2 runs x 12.2 m</t>
  </si>
  <si>
    <t xml:space="preserve">Modular units for casting-in; silt-tight joints</t>
  </si>
  <si>
    <t xml:space="preserve">24.4 m total across the workshop bay</t>
  </si>
  <si>
    <t xml:space="preserve">O-02</t>
  </si>
  <si>
    <t xml:space="preserve">Trench drain sump outlets with silt baskets</t>
  </si>
  <si>
    <t xml:space="preserve">Galv baskets, removable</t>
  </si>
  <si>
    <t xml:space="preserve">O-03</t>
  </si>
  <si>
    <t xml:space="preserve">Oil/water triple interceptor, 1000 L</t>
  </si>
  <si>
    <t xml:space="preserve">WaterMark-certified product required — local supply</t>
  </si>
  <si>
    <t xml:space="preserve">Trade-waste approval by water authority (local)</t>
  </si>
  <si>
    <t xml:space="preserve">O-04</t>
  </si>
  <si>
    <t xml:space="preserve">Interceptor pipework, vent and connection</t>
  </si>
  <si>
    <t xml:space="preserve">Local plumbing works</t>
  </si>
  <si>
    <t xml:space="preserve">O-05</t>
  </si>
  <si>
    <t xml:space="preserve">Stormwater connection pits and first-flush arrangement</t>
  </si>
  <si>
    <t xml:space="preserve">Local civil works</t>
  </si>
  <si>
    <t xml:space="preserve">P</t>
  </si>
  <si>
    <t xml:space="preserve">SOLAR ARRAY, 52.08 KW</t>
  </si>
  <si>
    <t xml:space="preserve">P-01</t>
  </si>
  <si>
    <t xml:space="preserve">PV module 620 W, monocrystalline</t>
  </si>
  <si>
    <t xml:space="preserve">IEC 61215 / IEC 61730; must be on the Australian CEC approved-modules list</t>
  </si>
  <si>
    <t xml:space="preserve">84 modules = 52.08 kW; 7 rows x 6 columns per slope, landscape; 36.5 kg each, 3062 kg total</t>
  </si>
  <si>
    <t xml:space="preserve">P-02</t>
  </si>
  <si>
    <t xml:space="preserve">Roof-mount rail system for PIR sandwich roof</t>
  </si>
  <si>
    <t xml:space="preserve">Wind-rated to AS/NZS 1170.2 site category (TBC); approx. 180 m rail</t>
  </si>
  <si>
    <t xml:space="preserve">Added dead load with modules 0.1132 kPa</t>
  </si>
  <si>
    <t xml:space="preserve">P-03</t>
  </si>
  <si>
    <t xml:space="preserve">Panel-interface brackets, sealed fixings through panel to purlins</t>
  </si>
  <si>
    <t xml:space="preserve">Panel-manufacturer-approved bracket + seal system</t>
  </si>
  <si>
    <t xml:space="preserve">P-04</t>
  </si>
  <si>
    <t xml:space="preserve">Module mid and end clamps</t>
  </si>
  <si>
    <t xml:space="preserve">Anodised aluminium</t>
  </si>
  <si>
    <t xml:space="preserve">P-05</t>
  </si>
  <si>
    <t xml:space="preserve">DC cable, PV1-F 6 mm2, UV-rated</t>
  </si>
  <si>
    <t xml:space="preserve">AS/NZS 5033 compliant installation (by local electrician)</t>
  </si>
  <si>
    <t xml:space="preserve">6 strings of 14 modules; string Voc 577 V</t>
  </si>
  <si>
    <t xml:space="preserve">P-06</t>
  </si>
  <si>
    <t xml:space="preserve">MC4 connectors and Y-branch sets</t>
  </si>
  <si>
    <t xml:space="preserve">Genuine matched connectors only</t>
  </si>
  <si>
    <t xml:space="preserve">P-07</t>
  </si>
  <si>
    <t xml:space="preserve">DC isolators, array and inverter ends</t>
  </si>
  <si>
    <t xml:space="preserve">AS 60947.3; IP66</t>
  </si>
  <si>
    <t xml:space="preserve">P-08</t>
  </si>
  <si>
    <t xml:space="preserve">Array earthing and bonding kit</t>
  </si>
  <si>
    <t xml:space="preserve">Lugs, washers, 6 mm2 earth</t>
  </si>
  <si>
    <t xml:space="preserve">P-09</t>
  </si>
  <si>
    <t xml:space="preserve">Roof-to-lean-to cable duct and tray</t>
  </si>
  <si>
    <t xml:space="preserve">Galv, UV-stable</t>
  </si>
  <si>
    <t xml:space="preserve">P-10</t>
  </si>
  <si>
    <t xml:space="preserve">Array layout, stringing and as-built drawing set</t>
  </si>
  <si>
    <t xml:space="preserve">String map 6 x 14; Voc calcs at site minimum temperature</t>
  </si>
  <si>
    <t xml:space="preserve">P-11</t>
  </si>
  <si>
    <t xml:space="preserve">Spare PV modules, attic stock</t>
  </si>
  <si>
    <t xml:space="preserve">Same batch as P-01</t>
  </si>
  <si>
    <t xml:space="preserve">Priced option</t>
  </si>
  <si>
    <t xml:space="preserve">CN-OPT</t>
  </si>
  <si>
    <t xml:space="preserve">Q</t>
  </si>
  <si>
    <t xml:space="preserve">INVERTERS, BATTERY STORAGE, EV CHARGING</t>
  </si>
  <si>
    <t xml:space="preserve">Q-01</t>
  </si>
  <si>
    <t xml:space="preserve">String inverter 25 kVA, 3-phase</t>
  </si>
  <si>
    <t xml:space="preserve">AS/NZS 4777.2:2020 certified and CEC-listed; grid export limits set at commissioning</t>
  </si>
  <si>
    <t xml:space="preserve">2 inverters = 50 kVA; grid connection application by principal (AS/NZS 4777.1)</t>
  </si>
  <si>
    <t xml:space="preserve">Q-02</t>
  </si>
  <si>
    <t xml:space="preserve">Battery cabinet, LFP, outdoor IP55, expandable to 50 kWh each</t>
  </si>
  <si>
    <t xml:space="preserve">CEC-listed battery system; installation to AS/NZS 5139 (by local installer)</t>
  </si>
  <si>
    <t xml:space="preserve">2 cabinets; building provision to 100 kWh total</t>
  </si>
  <si>
    <t xml:space="preserve">Q-03</t>
  </si>
  <si>
    <t xml:space="preserve">Battery module, LFP, nominal 5 kWh</t>
  </si>
  <si>
    <t xml:space="preserve">Same certified system as Q-02</t>
  </si>
  <si>
    <t xml:space="preserve">Initial fit 50 kWh (10 modules); expansion to 100 kWh is a future order</t>
  </si>
  <si>
    <t xml:space="preserve">Q-04</t>
  </si>
  <si>
    <t xml:space="preserve">Battery management gateway, energy meter and CT set</t>
  </si>
  <si>
    <t xml:space="preserve">Modbus TCP interface to group U controller</t>
  </si>
  <si>
    <t xml:space="preserve">Q-05</t>
  </si>
  <si>
    <t xml:space="preserve">EV charge point 22 kW, Type 2, tethered</t>
  </si>
  <si>
    <t xml:space="preserve">AS/NZS 61851.1; RCM marked; OCPP 1.6J</t>
  </si>
  <si>
    <t xml:space="preserve">2 points in the lean-to charging bay</t>
  </si>
  <si>
    <t xml:space="preserve">Q-06</t>
  </si>
  <si>
    <t xml:space="preserve">EV load-management interface module</t>
  </si>
  <si>
    <t xml:space="preserve">Sheds/derates chargers under the 71.9 kVA site cap</t>
  </si>
  <si>
    <t xml:space="preserve">Q-07</t>
  </si>
  <si>
    <t xml:space="preserve">Lean-to AC/DC protection and combiner board</t>
  </si>
  <si>
    <t xml:space="preserve">AS/NZS 61439 assembly; isolators, breakers, PV and battery protection</t>
  </si>
  <si>
    <t xml:space="preserve">Q-08</t>
  </si>
  <si>
    <t xml:space="preserve">Surge protection, PV DC and AC sides, T1+T2</t>
  </si>
  <si>
    <t xml:space="preserve">AS/NZS 1768 / IEC 61643 devices</t>
  </si>
  <si>
    <t xml:space="preserve">Q-09</t>
  </si>
  <si>
    <t xml:space="preserve">Compliance signage and shutdown procedure set</t>
  </si>
  <si>
    <t xml:space="preserve">AS/NZS 4777.2, AS/NZS 5139 and NCC-required labels, engraved</t>
  </si>
  <si>
    <t xml:space="preserve">R</t>
  </si>
  <si>
    <t xml:space="preserve">PLANT LEAN-TO, 3.0 X 6.0 M</t>
  </si>
  <si>
    <t xml:space="preserve">R-01</t>
  </si>
  <si>
    <t xml:space="preserve">Lean-to frame, SHS 89 x 89 x 5, mono-pitch</t>
  </si>
  <si>
    <t xml:space="preserve">AS/NZS 1163 C350, HDG; against right wall</t>
  </si>
  <si>
    <t xml:space="preserve">Keeps inverters, batteries and EV charging outside the main volume for fire separation</t>
  </si>
  <si>
    <t xml:space="preserve">R-02</t>
  </si>
  <si>
    <t xml:space="preserve">Lean-to roof: 100 mm PIR panel + flashings and gutter</t>
  </si>
  <si>
    <t xml:space="preserve">Matches group H system</t>
  </si>
  <si>
    <t xml:space="preserve">R-03</t>
  </si>
  <si>
    <t xml:space="preserve">Fire-separation wall panel between lean-to and main wall</t>
  </si>
  <si>
    <t xml:space="preserve">FRL 60/60/60 wall system, 20 m2; certifier acceptance by principal</t>
  </si>
  <si>
    <t xml:space="preserve">R-04</t>
  </si>
  <si>
    <t xml:space="preserve">Equipment mounting: unistrut, plinth frames, cabinet rails</t>
  </si>
  <si>
    <t xml:space="preserve">HDG strut + frames for 2 inverters + 2 battery cabinets</t>
  </si>
  <si>
    <t xml:space="preserve">R-05</t>
  </si>
  <si>
    <t xml:space="preserve">Mesh enclosure sides with lockable gate</t>
  </si>
  <si>
    <t xml:space="preserve">Galv welded mesh, 2 sides + gate</t>
  </si>
  <si>
    <t xml:space="preserve">R-06</t>
  </si>
  <si>
    <t xml:space="preserve">Protection bollards at charging bay</t>
  </si>
  <si>
    <t xml:space="preserve">140 NB concrete-filled (fill local), safety yellow</t>
  </si>
  <si>
    <t xml:space="preserve">R-07</t>
  </si>
  <si>
    <t xml:space="preserve">Lean-to downpipe and overflow</t>
  </si>
  <si>
    <t xml:space="preserve">S</t>
  </si>
  <si>
    <t xml:space="preserve">MAIN ELECTRICAL DISTRIBUTION</t>
  </si>
  <si>
    <t xml:space="preserve">S-01</t>
  </si>
  <si>
    <t xml:space="preserve">Main switchboard, 415 V 3-phase, 100 A supply, Form 2</t>
  </si>
  <si>
    <t xml:space="preserve">AS/NZS 61439; fault level and chassis rating per local supply authority (TBC)</t>
  </si>
  <si>
    <t xml:space="preserve">Connected load 84.9 kW against a 71.9 kVA supply — load management mandatory</t>
  </si>
  <si>
    <t xml:space="preserve">S-02</t>
  </si>
  <si>
    <t xml:space="preserve">Dynamic load-management controller</t>
  </si>
  <si>
    <t xml:space="preserve">Sheds EV charging and HPU on priority under the 71.9 kVA cap; Modbus TCP</t>
  </si>
  <si>
    <t xml:space="preserve">S-03</t>
  </si>
  <si>
    <t xml:space="preserve">Metering CT chamber and check-metering set</t>
  </si>
  <si>
    <t xml:space="preserve">Per local network requirements (pattern TBC)</t>
  </si>
  <si>
    <t xml:space="preserve">S-04</t>
  </si>
  <si>
    <t xml:space="preserve">Main switchboard surge protection T1+T2</t>
  </si>
  <si>
    <t xml:space="preserve">AS/NZS 1768</t>
  </si>
  <si>
    <t xml:space="preserve">S-05</t>
  </si>
  <si>
    <t xml:space="preserve">Main isolation switch, manual, lockable</t>
  </si>
  <si>
    <t xml:space="preserve">Life-safety: manual switchboard isolation independent of any automation</t>
  </si>
  <si>
    <t xml:space="preserve">S-06</t>
  </si>
  <si>
    <t xml:space="preserve">Distribution board DB-1, server compartment, with UPS input</t>
  </si>
  <si>
    <t xml:space="preserve">AS/NZS 61439</t>
  </si>
  <si>
    <t xml:space="preserve">S-07</t>
  </si>
  <si>
    <t xml:space="preserve">Submains and final subcircuit cable, Cu XLPE</t>
  </si>
  <si>
    <t xml:space="preserve">AS/NZS 5000.1; approx. 1200 m all sizes</t>
  </si>
  <si>
    <t xml:space="preserve">Installation by licensed Australian electrician (local)</t>
  </si>
  <si>
    <t xml:space="preserve">S-08</t>
  </si>
  <si>
    <t xml:space="preserve">Cable ladder 300 mm and tray 150 mm, HDG, with fittings</t>
  </si>
  <si>
    <t xml:space="preserve">Approx. 90 m total</t>
  </si>
  <si>
    <t xml:space="preserve">S-09</t>
  </si>
  <si>
    <t xml:space="preserve">Conduits, pits and lean-to link ducting</t>
  </si>
  <si>
    <t xml:space="preserve">UV-stable rigid conduit + pit set</t>
  </si>
  <si>
    <t xml:space="preserve">S-10</t>
  </si>
  <si>
    <t xml:space="preserve">Marshalling terminal strip, single point, fully labelled</t>
  </si>
  <si>
    <t xml:space="preserve">Every field device lands on one labelled strip — the control philosophy requires it</t>
  </si>
  <si>
    <t xml:space="preserve">S-11</t>
  </si>
  <si>
    <t xml:space="preserve">Earthing and MEN system: electrodes, bonds, test links</t>
  </si>
  <si>
    <t xml:space="preserve">AS/NZS 3000 section 5</t>
  </si>
  <si>
    <t xml:space="preserve">S-12</t>
  </si>
  <si>
    <t xml:space="preserve">Small power: GPOs, 4 x 32 A 3-phase welding outlets, bench outlet rails</t>
  </si>
  <si>
    <t xml:space="preserve">IP-rated where exposed; approx. 28 GPO points + 13 bench rails</t>
  </si>
  <si>
    <t xml:space="preserve">S-13</t>
  </si>
  <si>
    <t xml:space="preserve">Under-deck and container-bay reticulation duct</t>
  </si>
  <si>
    <t xml:space="preserve">Galv duct, matches B-12 in-bay channels</t>
  </si>
  <si>
    <t xml:space="preserve">T</t>
  </si>
  <si>
    <t xml:space="preserve">LIGHTING</t>
  </si>
  <si>
    <t xml:space="preserve">T-01</t>
  </si>
  <si>
    <t xml:space="preserve">LED highbay 150 W, DALI dimmable</t>
  </si>
  <si>
    <t xml:space="preserve">RCM marked; 5000 K; occupancy-linked via group U</t>
  </si>
  <si>
    <t xml:space="preserve">Over the 12.192 x 12.192 m bay</t>
  </si>
  <si>
    <t xml:space="preserve">T-02</t>
  </si>
  <si>
    <t xml:space="preserve">Container-bay LED strip 1.2 m, per bay</t>
  </si>
  <si>
    <t xml:space="preserve">RCM marked; DALI</t>
  </si>
  <si>
    <t xml:space="preserve">15 bays including server compartment</t>
  </si>
  <si>
    <t xml:space="preserve">T-03</t>
  </si>
  <si>
    <t xml:space="preserve">Under-deck / perimeter LED strips</t>
  </si>
  <si>
    <t xml:space="preserve">T-04</t>
  </si>
  <si>
    <t xml:space="preserve">External luminaire, sensor-driven, full cut-off</t>
  </si>
  <si>
    <t xml:space="preserve">RCM marked; integral or U-group sensor control; dark-sky friendly optics</t>
  </si>
  <si>
    <t xml:space="preserve">10 external luminaires per control philosophy — no wall switches</t>
  </si>
  <si>
    <t xml:space="preserve">T-05</t>
  </si>
  <si>
    <t xml:space="preserve">Emergency and exit luminaires, hardwired</t>
  </si>
  <si>
    <t xml:space="preserve">AS/NZS 2293; NOT sensor-controlled (life-safety)</t>
  </si>
  <si>
    <t xml:space="preserve">T-06</t>
  </si>
  <si>
    <t xml:space="preserve">Manual lighting override switch at MSB</t>
  </si>
  <si>
    <t xml:space="preserve">Life-safety: one manual override independent of the controller</t>
  </si>
  <si>
    <t xml:space="preserve">T-07</t>
  </si>
  <si>
    <t xml:space="preserve">DALI gateway and drivers</t>
  </si>
  <si>
    <t xml:space="preserve">DALI-2 to Modbus/MQTT bridge</t>
  </si>
  <si>
    <t xml:space="preserve">T-08</t>
  </si>
  <si>
    <t xml:space="preserve">Photocell master input</t>
  </si>
  <si>
    <t xml:space="preserve">Feeds lux logic; luminaires respond via controller</t>
  </si>
  <si>
    <t xml:space="preserve">T-09</t>
  </si>
  <si>
    <t xml:space="preserve">Lighting commissioning: zones, scenes, sensor thresholds</t>
  </si>
  <si>
    <t xml:space="preserve">Witnessed test with principal</t>
  </si>
  <si>
    <t xml:space="preserve">U</t>
  </si>
  <si>
    <t xml:space="preserve">SENSORS, CONTROL, SECURITY, NETWORK</t>
  </si>
  <si>
    <t xml:space="preserve">U-01</t>
  </si>
  <si>
    <t xml:space="preserve">Building controller: industrial DIN PC, MQTT broker + Modbus TCP</t>
  </si>
  <si>
    <t xml:space="preserve">Open protocols; drops into an existing Home Assistant installation</t>
  </si>
  <si>
    <t xml:space="preserve">Runs the no-wall-switch control philosophy; 61 sensor points across 15 types</t>
  </si>
  <si>
    <t xml:space="preserve">U-02</t>
  </si>
  <si>
    <t xml:space="preserve">Modbus I/O modules, DIN rail</t>
  </si>
  <si>
    <t xml:space="preserve">16DI/8DO/8AI mix</t>
  </si>
  <si>
    <t xml:space="preserve">U-03</t>
  </si>
  <si>
    <t xml:space="preserve">mmWave presence sensor, internal</t>
  </si>
  <si>
    <t xml:space="preserve">24 GHz, RCM</t>
  </si>
  <si>
    <t xml:space="preserve">Sensor schedule ref S1</t>
  </si>
  <si>
    <t xml:space="preserve">U-04</t>
  </si>
  <si>
    <t xml:space="preserve">PIR motion sensor, external, IP65</t>
  </si>
  <si>
    <t xml:space="preserve">Sensor schedule ref S2</t>
  </si>
  <si>
    <t xml:space="preserve">U-05</t>
  </si>
  <si>
    <t xml:space="preserve">Lux sensor</t>
  </si>
  <si>
    <t xml:space="preserve">Sensor schedule ref S3</t>
  </si>
  <si>
    <t xml:space="preserve">U-06</t>
  </si>
  <si>
    <t xml:space="preserve">Temperature / humidity sensor</t>
  </si>
  <si>
    <t xml:space="preserve">Sensor schedule ref S4</t>
  </si>
  <si>
    <t xml:space="preserve">U-07</t>
  </si>
  <si>
    <t xml:space="preserve">CO sensor (vehicle exhaust)</t>
  </si>
  <si>
    <t xml:space="preserve">Sensor schedule ref S5; alarm + fan interlock</t>
  </si>
  <si>
    <t xml:space="preserve">U-08</t>
  </si>
  <si>
    <t xml:space="preserve">CO2 sensor</t>
  </si>
  <si>
    <t xml:space="preserve">Sensor schedule ref S6</t>
  </si>
  <si>
    <t xml:space="preserve">U-09</t>
  </si>
  <si>
    <t xml:space="preserve">Smoke / heat detector, interlinked</t>
  </si>
  <si>
    <t xml:space="preserve">AS 3786; hardwired alarm path independent of controller</t>
  </si>
  <si>
    <t xml:space="preserve">Sensor schedule ref S7</t>
  </si>
  <si>
    <t xml:space="preserve">U-10</t>
  </si>
  <si>
    <t xml:space="preserve">Door / gate reed contact</t>
  </si>
  <si>
    <t xml:space="preserve">Sensor schedule ref S8</t>
  </si>
  <si>
    <t xml:space="preserve">U-11</t>
  </si>
  <si>
    <t xml:space="preserve">Roller-door position encoder</t>
  </si>
  <si>
    <t xml:space="preserve">Sensor schedule ref S9</t>
  </si>
  <si>
    <t xml:space="preserve">U-12</t>
  </si>
  <si>
    <t xml:space="preserve">Water leak probe</t>
  </si>
  <si>
    <t xml:space="preserve">Sensor schedule ref S10</t>
  </si>
  <si>
    <t xml:space="preserve">U-13</t>
  </si>
  <si>
    <t xml:space="preserve">Energy monitoring CT set, per zone</t>
  </si>
  <si>
    <t xml:space="preserve">Sensor schedule ref S13; Modbus meters</t>
  </si>
  <si>
    <t xml:space="preserve">U-14</t>
  </si>
  <si>
    <t xml:space="preserve">Weather station: wind, rain, external temperature</t>
  </si>
  <si>
    <t xml:space="preserve">Sensor schedule ref S14</t>
  </si>
  <si>
    <t xml:space="preserve">U-15</t>
  </si>
  <si>
    <t xml:space="preserve">Vibration / tamper sensor, plant areas</t>
  </si>
  <si>
    <t xml:space="preserve">Sensor schedule ref S15</t>
  </si>
  <si>
    <t xml:space="preserve">U-16</t>
  </si>
  <si>
    <t xml:space="preserve">CCTV camera, external bullet, IP67, IR</t>
  </si>
  <si>
    <t xml:space="preserve">ONVIF, PoE</t>
  </si>
  <si>
    <t xml:space="preserve">6 external of 9 total cameras</t>
  </si>
  <si>
    <t xml:space="preserve">U-17</t>
  </si>
  <si>
    <t xml:space="preserve">CCTV camera, internal dome</t>
  </si>
  <si>
    <t xml:space="preserve">3 internal</t>
  </si>
  <si>
    <t xml:space="preserve">U-18</t>
  </si>
  <si>
    <t xml:space="preserve">NVR / NAS, 8-bay, with camera licences</t>
  </si>
  <si>
    <t xml:space="preserve">30-day retention at full resolution</t>
  </si>
  <si>
    <t xml:space="preserve">U-19</t>
  </si>
  <si>
    <t xml:space="preserve">Credential reader, OSDP, no keypad</t>
  </si>
  <si>
    <t xml:space="preserve">DESFire EV2/EV3; 4 readers — no keypads per brief</t>
  </si>
  <si>
    <t xml:space="preserve">Egress is always mechanical (life-safety)</t>
  </si>
  <si>
    <t xml:space="preserve">U-20</t>
  </si>
  <si>
    <t xml:space="preserve">PoE switch 24-port + patch panel + 1.5 kVA UPS</t>
  </si>
  <si>
    <t xml:space="preserve">In server compartment rack</t>
  </si>
  <si>
    <t xml:space="preserve">U-21</t>
  </si>
  <si>
    <t xml:space="preserve">Structured cabling Cat6A, approx. 900 m, with outlets</t>
  </si>
  <si>
    <t xml:space="preserve">Terminated and certified</t>
  </si>
  <si>
    <t xml:space="preserve">U-22</t>
  </si>
  <si>
    <t xml:space="preserve">WiFi access point, industrial</t>
  </si>
  <si>
    <t xml:space="preserve">U-23</t>
  </si>
  <si>
    <t xml:space="preserve">Controller configuration: dashboards, MQTT topics, Home Assistant handover</t>
  </si>
  <si>
    <t xml:space="preserve">Config repository handed over; no cloud lock-in</t>
  </si>
  <si>
    <t xml:space="preserve">V</t>
  </si>
  <si>
    <t xml:space="preserve">SERVICE REELS &amp; WORKSHOP SERVICES</t>
  </si>
  <si>
    <t xml:space="preserve">V-01</t>
  </si>
  <si>
    <t xml:space="preserve">Hose reel: compressed air, 10 mm x 15 m</t>
  </si>
  <si>
    <t xml:space="preserve">Spring-retract, swivel mount</t>
  </si>
  <si>
    <t xml:space="preserve">Reel bank of five under the front-wall hood</t>
  </si>
  <si>
    <t xml:space="preserve">V-02</t>
  </si>
  <si>
    <t xml:space="preserve">Cable reel: 240 V 15 A x 18 m</t>
  </si>
  <si>
    <t xml:space="preserve">RCM marked, RCD-protected circuit</t>
  </si>
  <si>
    <t xml:space="preserve">V-03</t>
  </si>
  <si>
    <t xml:space="preserve">Hose reel: water, 12 mm x 15 m</t>
  </si>
  <si>
    <t xml:space="preserve">V-04</t>
  </si>
  <si>
    <t xml:space="preserve">Hose reel: oil dispense, 10 mm x 10 m, with metered gun</t>
  </si>
  <si>
    <t xml:space="preserve">V-05</t>
  </si>
  <si>
    <t xml:space="preserve">Hose reel: grease, 6 mm x 10 m, with gun</t>
  </si>
  <si>
    <t xml:space="preserve">V-06</t>
  </si>
  <si>
    <t xml:space="preserve">Reel-bank mounting rail and hood interface</t>
  </si>
  <si>
    <t xml:space="preserve">Mounts to D-11 hood frame</t>
  </si>
  <si>
    <t xml:space="preserve">V-07</t>
  </si>
  <si>
    <t xml:space="preserve">Air / water / oil reticulation to reel bank and bays</t>
  </si>
  <si>
    <t xml:space="preserve">Press-fit aluminium air line DN25 + copper water + steel oil lines, approx. 70 m</t>
  </si>
  <si>
    <t xml:space="preserve">V-08</t>
  </si>
  <si>
    <t xml:space="preserve">Rotary screw compressor 11 kW + dryer + 500 L receiver</t>
  </si>
  <si>
    <t xml:space="preserve">Not in the rev C model — priced option, confirm before order</t>
  </si>
  <si>
    <t xml:space="preserve">Feeds V-01 and bay drops</t>
  </si>
  <si>
    <t xml:space="preserve">W</t>
  </si>
  <si>
    <t xml:space="preserve">WORKBENCHES &amp; BAY FIT-OUT</t>
  </si>
  <si>
    <t xml:space="preserve">W-01</t>
  </si>
  <si>
    <t xml:space="preserve">Steel workbench 2.2 x 0.75 m, 6 mm top, undershelf</t>
  </si>
  <si>
    <t xml:space="preserve">Powder-coated frame, levelling feet</t>
  </si>
  <si>
    <t xml:space="preserve">13 workbench bays</t>
  </si>
  <si>
    <t xml:space="preserve">W-02</t>
  </si>
  <si>
    <t xml:space="preserve">Bay back-panel tool board with hook kit</t>
  </si>
  <si>
    <t xml:space="preserve">Perforated steel, bay width</t>
  </si>
  <si>
    <t xml:space="preserve">W-03</t>
  </si>
  <si>
    <t xml:space="preserve">Bench vice 150 mm with mount</t>
  </si>
  <si>
    <t xml:space="preserve">W-04</t>
  </si>
  <si>
    <t xml:space="preserve">Server rack 18RU with PDU and cable management</t>
  </si>
  <si>
    <t xml:space="preserve">In sealed server compartment</t>
  </si>
  <si>
    <t xml:space="preserve">W-05</t>
  </si>
  <si>
    <t xml:space="preserve">Server compartment shelving and storage fit-out</t>
  </si>
  <si>
    <t xml:space="preserve">X</t>
  </si>
  <si>
    <t xml:space="preserve">FIXINGS, SEALANTS, CONSUMABLES, EXPORT PACKING</t>
  </si>
  <si>
    <t xml:space="preserve">X-01</t>
  </si>
  <si>
    <t xml:space="preserve">Chemical anchor system M12/M16 with HDG/SS studs</t>
  </si>
  <si>
    <t xml:space="preserve">ETA-assessed system; for hold-downs and plant fixing</t>
  </si>
  <si>
    <t xml:space="preserve">X-02</t>
  </si>
  <si>
    <t xml:space="preserve">Masonry anchors and screwbolts, assorted</t>
  </si>
  <si>
    <t xml:space="preserve">X-03</t>
  </si>
  <si>
    <t xml:space="preserve">General fasteners site allowance: teks, bolts, rivets</t>
  </si>
  <si>
    <t xml:space="preserve">Class 4 coated</t>
  </si>
  <si>
    <t xml:space="preserve">X-04</t>
  </si>
  <si>
    <t xml:space="preserve">Sealants: PU, neutral-cure silicone, fire-rated penetration sealer</t>
  </si>
  <si>
    <t xml:space="preserve">X-05</t>
  </si>
  <si>
    <t xml:space="preserve">Touch-up: cold-galvanising and 2-pack repair kits</t>
  </si>
  <si>
    <t xml:space="preserve">X-06</t>
  </si>
  <si>
    <t xml:space="preserve">EPDM washers, closure strips, foam fillers — spares including 2% attic stock</t>
  </si>
  <si>
    <t xml:space="preserve">X-07</t>
  </si>
  <si>
    <t xml:space="preserve">Erection mark labels, engraved plant tags, cable tags</t>
  </si>
  <si>
    <t xml:space="preserve">Marks match the shop-drawing erection sequence</t>
  </si>
  <si>
    <t xml:space="preserve">X-08</t>
  </si>
  <si>
    <t xml:space="preserve">Export packing: cradles, frames, VCI wrap, desiccant, ISPM-15 timber</t>
  </si>
  <si>
    <t xml:space="preserve">All timber ISPM-15 stamped; seaworthy packing certificate required</t>
  </si>
  <si>
    <t xml:space="preserve">Packed into the three group-A containers plus flat racks as needed</t>
  </si>
  <si>
    <t xml:space="preserve">X-09</t>
  </si>
  <si>
    <t xml:space="preserve">Lashing and securing of cargo into containers / flat racks</t>
  </si>
  <si>
    <t xml:space="preserve">CTU-code compliant lashing plan, photographed</t>
  </si>
  <si>
    <t xml:space="preserve">Y</t>
  </si>
  <si>
    <t xml:space="preserve">LOCAL SUPPLY &amp; SITE WORKS (INFO ONLY — EXCLUDED FROM THIS RFQ)</t>
  </si>
  <si>
    <t xml:space="preserve">Y-01</t>
  </si>
  <si>
    <t xml:space="preserve">Concrete: slab and edge beam (within 90.5 m3 total)</t>
  </si>
  <si>
    <t xml:space="preserve">Local supply; engineer's design pending geotech</t>
  </si>
  <si>
    <t xml:space="preserve">Y-02</t>
  </si>
  <si>
    <t xml:space="preserve">Footing pads 1.2 x 1.2 x 0.7 m</t>
  </si>
  <si>
    <t xml:space="preserve">12 pads under portal columns</t>
  </si>
  <si>
    <t xml:space="preserve">Y-03</t>
  </si>
  <si>
    <t xml:space="preserve">Lift pit and sump excavation; casting-in of supplied boxes</t>
  </si>
  <si>
    <t xml:space="preserve">Uses L-01 pit boxes and N-01 sump liner</t>
  </si>
  <si>
    <t xml:space="preserve">Sequenced after lift design registration is resolved</t>
  </si>
  <si>
    <t xml:space="preserve">Y-04</t>
  </si>
  <si>
    <t xml:space="preserve">Reinforcement: mesh and bar</t>
  </si>
  <si>
    <t xml:space="preserve">Y-05</t>
  </si>
  <si>
    <t xml:space="preserve">Vapour barrier, sawcuts, joint sealing, surface sealer</t>
  </si>
  <si>
    <t xml:space="preserve">Y-06</t>
  </si>
  <si>
    <t xml:space="preserve">Holding-down bolt placement and grouting</t>
  </si>
  <si>
    <t xml:space="preserve">Uses C-08 cast-in assemblies and templates</t>
  </si>
  <si>
    <t xml:space="preserve">Y-07</t>
  </si>
  <si>
    <t xml:space="preserve">Erection and installation labour, cranage, EWPs</t>
  </si>
  <si>
    <t xml:space="preserve">Local erector; supplier site supervision quoted as RFQ option</t>
  </si>
  <si>
    <t xml:space="preserve">Y-08</t>
  </si>
  <si>
    <t xml:space="preserve">Licensed electrical installation and grid connection</t>
  </si>
  <si>
    <t xml:space="preserve">AS/NZS 3000; AS/NZS 4777.1 network application</t>
  </si>
  <si>
    <t xml:space="preserve">Y-09</t>
  </si>
  <si>
    <t xml:space="preserve">Plumbing, trade waste and interceptor connection</t>
  </si>
  <si>
    <t xml:space="preserve">WaterMark products; water-authority approval</t>
  </si>
  <si>
    <t xml:space="preserve">Y-10</t>
  </si>
  <si>
    <t xml:space="preserve">Certification package: structural, plant registration, building, solar/battery</t>
  </si>
  <si>
    <t xml:space="preserve">The 15-item sign-off register in the RFQ brief</t>
  </si>
  <si>
    <t xml:space="preserve">Y-11</t>
  </si>
  <si>
    <t xml:space="preserve">Site data: wind region, terrain category, soil classification</t>
  </si>
  <si>
    <t xml:space="preserve">Prerequisite — nothing structural can be certified without it</t>
  </si>
  <si>
    <t xml:space="preserve">Y-12</t>
  </si>
  <si>
    <t xml:space="preserve">Commissioning: crane 125% load test, lift verification, controls witness tests</t>
  </si>
  <si>
    <t xml:space="preserve">Supplier commissioning support quoted as RFQ option</t>
  </si>
  <si>
    <t xml:space="preserve">TOTAL — CHINA SUPPLY, BASE SCOPE (scope CN)</t>
  </si>
  <si>
    <t xml:space="preserve">TOTAL — PRICED OPTIONS (scope CN-OPT)</t>
  </si>
  <si>
    <t xml:space="preserve">GROUP SUMMARY — quote rollup</t>
  </si>
  <si>
    <t xml:space="preserve">Group</t>
  </si>
  <si>
    <t xml:space="preserve">Title</t>
  </si>
  <si>
    <t xml:space="preserve">Items</t>
  </si>
  <si>
    <t xml:space="preserve">Mass (kg)</t>
  </si>
  <si>
    <t xml:space="preserve">Base CN (USD)</t>
  </si>
  <si>
    <t xml:space="preserve">Options (USD)</t>
  </si>
  <si>
    <t xml:space="preserve">Local (excl.)</t>
  </si>
  <si>
    <t xml:space="preserve">ISO containers &amp; inter-connection</t>
  </si>
  <si>
    <t xml:space="preserve">Container modification &amp; bay structure</t>
  </si>
  <si>
    <t xml:space="preserve">Primary steel — portal frames</t>
  </si>
  <si>
    <t xml:space="preserve">Secondary steel — purlins, girts, canopies</t>
  </si>
  <si>
    <t xml:space="preserve">Bracing</t>
  </si>
  <si>
    <t xml:space="preserve">Crane runway</t>
  </si>
  <si>
    <t xml:space="preserve">Overhead crane, 2000 kg</t>
  </si>
  <si>
    <t xml:space="preserve">Envelope — PIR panels, flashings, rainwater</t>
  </si>
  <si>
    <t xml:space="preserve">Doors</t>
  </si>
  <si>
    <t xml:space="preserve">Container-top storage deck &amp; racking</t>
  </si>
  <si>
    <t xml:space="preserve">Stair, walkway edge protection</t>
  </si>
  <si>
    <t xml:space="preserve">In-ground vehicle lifts, 4 x 6 t</t>
  </si>
  <si>
    <t xml:space="preserve">Hydraulic power unit &amp; reticulation</t>
  </si>
  <si>
    <t xml:space="preserve">Plant sump fit-out</t>
  </si>
  <si>
    <t xml:space="preserve">Floor drainage interfaces</t>
  </si>
  <si>
    <t xml:space="preserve">Solar array, 52.08 kW</t>
  </si>
  <si>
    <t xml:space="preserve">Inverters, battery storage, EV charging</t>
  </si>
  <si>
    <t xml:space="preserve">Plant lean-to, 3.0 x 6.0 m</t>
  </si>
  <si>
    <t xml:space="preserve">Main electrical distribution</t>
  </si>
  <si>
    <t xml:space="preserve">Lighting</t>
  </si>
  <si>
    <t xml:space="preserve">Sensors, control, security, network</t>
  </si>
  <si>
    <t xml:space="preserve">Service reels &amp; workshop services</t>
  </si>
  <si>
    <t xml:space="preserve">Workbenches &amp; bay fit-out</t>
  </si>
  <si>
    <t xml:space="preserve">Fixings, sealants, consumables, export packing</t>
  </si>
  <si>
    <t xml:space="preserve">Local supply &amp; site works (info only — excluded from this RFQ)</t>
  </si>
  <si>
    <t xml:space="preserve">TOTAL</t>
  </si>
  <si>
    <t xml:space="preserve">COMMERCIAL SUMMARY (tenderer completes yellow cells)</t>
  </si>
  <si>
    <t xml:space="preserve">Subtotal — base scope, ex-works packed</t>
  </si>
  <si>
    <t xml:space="preserve">Inland haulage + export formalities, FOB nominated port</t>
  </si>
  <si>
    <t xml:space="preserve">Sea freight, 3 SOC containers + additional units, to Port of Brisbane</t>
  </si>
  <si>
    <t xml:space="preserve">Marine insurance (110% CIF value)</t>
  </si>
  <si>
    <t xml:space="preserve">Third-party pre-shipment inspection allowance</t>
  </si>
  <si>
    <t xml:space="preserve">TOTAL — CIF Brisbane, base scope</t>
  </si>
  <si>
    <t xml:space="preserve">Priced options total (info)</t>
  </si>
  <si>
    <t xml:space="preserve">Rates are FOB-basis unit prices in USD. State the nominated loading port with your offer. DDP options may be offered separately. Nominal masses are for freight planning only — final masses come from shop detailing.</t>
  </si>
  <si>
    <t xml:space="preserve">SENSOR &amp; CONTROL POINT SCHEDULE — 61 points, 15 types</t>
  </si>
  <si>
    <t xml:space="preserve">Everything runs on sensors — there are no wall switches. Open protocols: MQTT + Modbus TCP, integrating with an existing Home Assistant installation.</t>
  </si>
  <si>
    <t xml:space="preserve">Ref</t>
  </si>
  <si>
    <t xml:space="preserve">Sensor type</t>
  </si>
  <si>
    <t xml:space="preserve">Points</t>
  </si>
  <si>
    <t xml:space="preserve">BOM ref</t>
  </si>
  <si>
    <t xml:space="preserve">S1</t>
  </si>
  <si>
    <t xml:space="preserve">mmWave presence, internal</t>
  </si>
  <si>
    <t xml:space="preserve">S2</t>
  </si>
  <si>
    <t xml:space="preserve">PIR motion, external</t>
  </si>
  <si>
    <t xml:space="preserve">S3</t>
  </si>
  <si>
    <t xml:space="preserve">Lux</t>
  </si>
  <si>
    <t xml:space="preserve">S4</t>
  </si>
  <si>
    <t xml:space="preserve">Temperature / humidity</t>
  </si>
  <si>
    <t xml:space="preserve">S5</t>
  </si>
  <si>
    <t xml:space="preserve">CO (vehicle exhaust)</t>
  </si>
  <si>
    <t xml:space="preserve">S6</t>
  </si>
  <si>
    <t xml:space="preserve">CO2</t>
  </si>
  <si>
    <t xml:space="preserve">S7</t>
  </si>
  <si>
    <t xml:space="preserve">Smoke / heat, interlinked</t>
  </si>
  <si>
    <t xml:space="preserve">S8</t>
  </si>
  <si>
    <t xml:space="preserve">Door / gate contact</t>
  </si>
  <si>
    <t xml:space="preserve">S9</t>
  </si>
  <si>
    <t xml:space="preserve">S10</t>
  </si>
  <si>
    <t xml:space="preserve">S11</t>
  </si>
  <si>
    <t xml:space="preserve">Oil-in-water (sump interlock)</t>
  </si>
  <si>
    <t xml:space="preserve">S12</t>
  </si>
  <si>
    <t xml:space="preserve">Sump high-level float</t>
  </si>
  <si>
    <t xml:space="preserve">S13</t>
  </si>
  <si>
    <t xml:space="preserve">Energy monitoring CT set</t>
  </si>
  <si>
    <t xml:space="preserve">S14</t>
  </si>
  <si>
    <t xml:space="preserve">Weather station (wind / rain / ext. temp)</t>
  </si>
  <si>
    <t xml:space="preserve">S15</t>
  </si>
  <si>
    <t xml:space="preserve">Vibration / tamper</t>
  </si>
  <si>
    <t xml:space="preserve">TOTAL SENSOR POINTS</t>
  </si>
  <si>
    <t xml:space="preserve">CCTV cameras</t>
  </si>
  <si>
    <t xml:space="preserve">9  (6 external + 3 internal)</t>
  </si>
  <si>
    <t xml:space="preserve">Credential readers (no keypads)</t>
  </si>
  <si>
    <t xml:space="preserve">4</t>
  </si>
  <si>
    <t xml:space="preserve">External luminaires, sensor-driven</t>
  </si>
  <si>
    <t xml:space="preserve">10</t>
  </si>
  <si>
    <t xml:space="preserve">Five functions are deliberately NOT sensor-only (life-safety): emergency lighting, switchboard isolation, a manual lighting override, hold-to-run on the crane and lifts, and mechanical egress on every door.</t>
  </si>
  <si>
    <t xml:space="preserve">SCHEDULE OF PRINCIPAL DIMENSIONS — rev C, 2026-08-24</t>
  </si>
  <si>
    <t xml:space="preserve">Every number is computed from one parameter file — the model, this schedule and the BOM cannot disagree. Status: for engineering. NOT a certified design.</t>
  </si>
  <si>
    <t xml:space="preserve">Element</t>
  </si>
  <si>
    <t xml:space="preserve">Value</t>
  </si>
  <si>
    <t xml:space="preserve">Note</t>
  </si>
  <si>
    <t xml:space="preserve">Clear workshop bay</t>
  </si>
  <si>
    <t xml:space="preserve">12.192 x 12.192 m</t>
  </si>
  <si>
    <t xml:space="preserve">containers meet at both rear corners</t>
  </si>
  <si>
    <t xml:space="preserve">Building envelope</t>
  </si>
  <si>
    <t xml:space="preserve">17.068 x 14.630 m</t>
  </si>
  <si>
    <t xml:space="preserve">footprint 249.7 m2</t>
  </si>
  <si>
    <t xml:space="preserve">Eave / ridge</t>
  </si>
  <si>
    <t xml:space="preserve">6.896 / 8.432 m</t>
  </si>
  <si>
    <t xml:space="preserve">10.0 deg pitch, equal both slopes</t>
  </si>
  <si>
    <t xml:space="preserve">Portal frames</t>
  </si>
  <si>
    <t xml:space="preserve">6 at 2.960 m</t>
  </si>
  <si>
    <t xml:space="preserve">17.420 m span, 360 UB 44.7, haunched</t>
  </si>
  <si>
    <t xml:space="preserve">Envelope</t>
  </si>
  <si>
    <t xml:space="preserve">100 mm PIR</t>
  </si>
  <si>
    <t xml:space="preserve">607 m2 roof, wall and gable</t>
  </si>
  <si>
    <t xml:space="preserve">Roller door</t>
  </si>
  <si>
    <t xml:space="preserve">4.0 x 4.0 m</t>
  </si>
  <si>
    <t xml:space="preserve">Overhead crane</t>
  </si>
  <si>
    <t xml:space="preserve">2000 kg, 17.420 m span</t>
  </si>
  <si>
    <t xml:space="preserve">hook 5.154 m; reaches 1.914 m over each container top</t>
  </si>
  <si>
    <t xml:space="preserve">Vehicle lift</t>
  </si>
  <si>
    <t xml:space="preserve">4 x 6 t, 3.0 m stroke</t>
  </si>
  <si>
    <t xml:space="preserve">flush pads on a 4.0 x 3.5 m grid, removable cross beams</t>
  </si>
  <si>
    <t xml:space="preserve">Hydraulic plant</t>
  </si>
  <si>
    <t xml:space="preserve">15 kW in a floor sump</t>
  </si>
  <si>
    <t xml:space="preserve">2.4 x 1.6 x 1.8 m, bunded, flush covered</t>
  </si>
  <si>
    <t xml:space="preserve">Container storage deck</t>
  </si>
  <si>
    <t xml:space="preserve">3.001 m level</t>
  </si>
  <si>
    <t xml:space="preserve">max craned item 1.903 m tall</t>
  </si>
  <si>
    <t xml:space="preserve">Container bays</t>
  </si>
  <si>
    <t xml:space="preserve">15 openings at 2.288 m</t>
  </si>
  <si>
    <t xml:space="preserve">13 workbenches + sealed server compartment</t>
  </si>
  <si>
    <t xml:space="preserve">Solar array</t>
  </si>
  <si>
    <t xml:space="preserve">52.08 kW</t>
  </si>
  <si>
    <t xml:space="preserve">84 modules, 7 rows x 6 columns per slope</t>
  </si>
  <si>
    <t xml:space="preserve">Plant lean-to</t>
  </si>
  <si>
    <t xml:space="preserve">3.0 x 6.0 m external</t>
  </si>
  <si>
    <t xml:space="preserve">2 inverters, 2 battery cabinets, 2 x 22 kW EV points</t>
  </si>
  <si>
    <t xml:space="preserve">Building control</t>
  </si>
  <si>
    <t xml:space="preserve">61 sensor points</t>
  </si>
  <si>
    <t xml:space="preserve">9 cameras, 4 readers, 10 external luminaires, no wall switches</t>
  </si>
  <si>
    <t xml:space="preserve">Structural steel</t>
  </si>
  <si>
    <t xml:space="preserve">20.7 t</t>
  </si>
  <si>
    <t xml:space="preserve">portals, secondary, crane (groups C-F)</t>
  </si>
  <si>
    <t xml:space="preserve">Concrete</t>
  </si>
  <si>
    <t xml:space="preserve">90.5 m3</t>
  </si>
  <si>
    <t xml:space="preserve">slab, edge beam, 12 pads, pits, sump — local works</t>
  </si>
  <si>
    <t xml:space="preserve">Connected load</t>
  </si>
  <si>
    <t xml:space="preserve">84.9 kW</t>
  </si>
  <si>
    <t xml:space="preserve">against a 71.9 kVA supply — load management required</t>
  </si>
  <si>
    <t xml:space="preserve">Site wind region, terrain category and soil classification are not yet confirmed. Wind-rated items (envelope, roller door, PV mounting, structure) are quoted against the stated sections; re-pricing after site data lands is handled via the per-tonne and per-m2 rates in this workbook.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</si>
</sst>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0"/>
    <numFmt numFmtId="168" formatCode="0.#"/>
    <numFmt numFmtId="169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2"/>
      <name val="WenQuanYi Zen Hei"/>
      <family val="2"/>
    </font>
    <font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sz val="10"/>
      <name val="WenQuanYi Zen Hei"/>
      <family val="2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A8402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  <fill>
      <patternFill patternType="solid">
        <fgColor rgb="FFE5E7EB"/>
        <bgColor rgb="FFF3F4F6"/>
      </patternFill>
    </fill>
    <fill>
      <patternFill patternType="solid">
        <fgColor rgb="FFFFFDE7"/>
        <bgColor rgb="FFFFFFFF"/>
      </patternFill>
    </fill>
    <fill>
      <patternFill patternType="solid">
        <fgColor rgb="FFF3F4F6"/>
        <bgColor rgb="FFFFFDE7"/>
      </patternFill>
    </fill>
    <fill>
      <patternFill patternType="solid">
        <fgColor rgb="FFFEF3C7"/>
        <bgColor rgb="FFFFFDE7"/>
      </patternFill>
    </fill>
    <fill>
      <patternFill patternType="solid">
        <fgColor rgb="FFD1D5DB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BDB4"/>
      </left>
      <right style="thin">
        <color rgb="FFC4BDB4"/>
      </right>
      <top style="thin">
        <color rgb="FFC4BDB4"/>
      </top>
      <bottom style="thin">
        <color rgb="FFC4B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B4"/>
      <rgbColor rgb="FF808080"/>
      <rgbColor rgb="FF9999FF"/>
      <rgbColor rgb="FF993366"/>
      <rgbColor rgb="FFFFFDE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8402A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6" min="4" style="0" width="14"/>
  </cols>
  <sheetData>
    <row r="2" customFormat="false" ht="19.7" hidden="false" customHeight="false" outlineLevel="0" collapsed="false">
      <c r="B2" s="1" t="s">
        <v>0</v>
      </c>
    </row>
    <row r="3" customFormat="false" ht="16.4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  <row r="12" customFormat="false" ht="15" hidden="false" customHeight="false" outlineLevel="0" collapsed="false">
      <c r="B12" s="3" t="s">
        <v>16</v>
      </c>
      <c r="C12" s="4" t="s">
        <v>17</v>
      </c>
    </row>
    <row r="14" customFormat="false" ht="16.4" hidden="false" customHeight="false" outlineLevel="0" collapsed="false">
      <c r="B14" s="5" t="s">
        <v>18</v>
      </c>
    </row>
    <row r="15" customFormat="false" ht="30" hidden="false" customHeight="true" outlineLevel="0" collapsed="false">
      <c r="B15" s="6" t="s">
        <v>19</v>
      </c>
      <c r="C15" s="6"/>
      <c r="D15" s="6"/>
      <c r="E15" s="6"/>
      <c r="F15" s="6"/>
    </row>
    <row r="16" customFormat="false" ht="30" hidden="false" customHeight="true" outlineLevel="0" collapsed="false">
      <c r="B16" s="6" t="s">
        <v>20</v>
      </c>
      <c r="C16" s="6"/>
      <c r="D16" s="6"/>
      <c r="E16" s="6"/>
      <c r="F16" s="6"/>
    </row>
    <row r="17" customFormat="false" ht="30" hidden="false" customHeight="true" outlineLevel="0" collapsed="false">
      <c r="B17" s="6" t="s">
        <v>21</v>
      </c>
      <c r="C17" s="6"/>
      <c r="D17" s="6"/>
      <c r="E17" s="6"/>
      <c r="F17" s="6"/>
    </row>
    <row r="18" customFormat="false" ht="30" hidden="false" customHeight="true" outlineLevel="0" collapsed="false">
      <c r="B18" s="6" t="s">
        <v>22</v>
      </c>
      <c r="C18" s="6"/>
      <c r="D18" s="6"/>
      <c r="E18" s="6"/>
      <c r="F18" s="6"/>
    </row>
    <row r="19" customFormat="false" ht="30" hidden="false" customHeight="true" outlineLevel="0" collapsed="false">
      <c r="B19" s="6" t="s">
        <v>23</v>
      </c>
      <c r="C19" s="6"/>
      <c r="D19" s="6"/>
      <c r="E19" s="6"/>
      <c r="F19" s="6"/>
    </row>
    <row r="20" customFormat="false" ht="30" hidden="false" customHeight="true" outlineLevel="0" collapsed="false">
      <c r="B20" s="6" t="s">
        <v>24</v>
      </c>
      <c r="C20" s="6"/>
      <c r="D20" s="6"/>
      <c r="E20" s="6"/>
      <c r="F20" s="6"/>
    </row>
    <row r="22" customFormat="false" ht="16.4" hidden="false" customHeight="false" outlineLevel="0" collapsed="false">
      <c r="B22" s="5" t="s">
        <v>25</v>
      </c>
    </row>
    <row r="23" customFormat="false" ht="15" hidden="false" customHeight="false" outlineLevel="0" collapsed="false">
      <c r="B23" s="7" t="s">
        <v>26</v>
      </c>
      <c r="C23" s="4" t="s">
        <v>27</v>
      </c>
    </row>
    <row r="25" customFormat="false" ht="15" hidden="false" customHeight="false" outlineLevel="0" collapsed="false">
      <c r="B25" s="8" t="s">
        <v>28</v>
      </c>
      <c r="C25" s="8" t="s">
        <v>29</v>
      </c>
      <c r="D25" s="8" t="s">
        <v>30</v>
      </c>
      <c r="E25" s="8" t="s">
        <v>31</v>
      </c>
      <c r="F25" s="8" t="s">
        <v>32</v>
      </c>
    </row>
    <row r="26" customFormat="false" ht="23.85" hidden="false" customHeight="false" outlineLevel="0" collapsed="false">
      <c r="B26" s="9" t="s">
        <v>33</v>
      </c>
      <c r="C26" s="10" t="s">
        <v>34</v>
      </c>
      <c r="D26" s="10" t="n">
        <v>100</v>
      </c>
      <c r="E26" s="11" t="n">
        <v>8.5</v>
      </c>
      <c r="F26" s="12" t="n">
        <f aca="false">D26*E26</f>
        <v>850</v>
      </c>
    </row>
    <row r="28" customFormat="false" ht="15" hidden="false" customHeight="true" outlineLevel="0" collapsed="false">
      <c r="B28" s="13" t="s">
        <v>35</v>
      </c>
      <c r="C28" s="13"/>
      <c r="D28" s="13"/>
      <c r="E28" s="13"/>
      <c r="F28" s="13"/>
    </row>
    <row r="29" customFormat="false" ht="15" hidden="false" customHeight="false" outlineLevel="0" collapsed="false">
      <c r="B29" s="13"/>
      <c r="C29" s="13"/>
      <c r="D29" s="13"/>
      <c r="E29" s="13"/>
      <c r="F29" s="13"/>
    </row>
    <row r="30" customFormat="false" ht="15" hidden="false" customHeight="false" outlineLevel="0" collapsed="false">
      <c r="B30" s="13"/>
      <c r="C30" s="13"/>
      <c r="D30" s="13"/>
      <c r="E30" s="13"/>
      <c r="F30" s="13"/>
    </row>
    <row r="31" customFormat="false" ht="15" hidden="false" customHeight="false" outlineLevel="0" collapsed="false">
      <c r="B31" s="13"/>
      <c r="C31" s="13"/>
      <c r="D31" s="13"/>
      <c r="E31" s="13"/>
      <c r="F31" s="13"/>
    </row>
  </sheetData>
  <mergeCells count="7">
    <mergeCell ref="B15:F15"/>
    <mergeCell ref="B16:F16"/>
    <mergeCell ref="B17:F17"/>
    <mergeCell ref="B18:F18"/>
    <mergeCell ref="B19:F19"/>
    <mergeCell ref="B20:F20"/>
    <mergeCell ref="B28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0" min="9" style="0" width="13"/>
    <col collapsed="false" customWidth="true" hidden="false" outlineLevel="0" max="11" min="11" style="0" width="32"/>
  </cols>
  <sheetData>
    <row r="1" customFormat="false" ht="22.35" hidden="false" customHeight="false" outlineLevel="0" collapsed="false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29</v>
      </c>
      <c r="F1" s="14" t="s">
        <v>30</v>
      </c>
      <c r="G1" s="14" t="s">
        <v>40</v>
      </c>
      <c r="H1" s="14" t="s">
        <v>41</v>
      </c>
      <c r="I1" s="14" t="s">
        <v>31</v>
      </c>
      <c r="J1" s="14" t="s">
        <v>32</v>
      </c>
      <c r="K1" s="14" t="s">
        <v>42</v>
      </c>
    </row>
    <row r="2" customFormat="false" ht="15" hidden="false" customHeight="false" outlineLevel="0" collapsed="false">
      <c r="A2" s="15" t="s">
        <v>43</v>
      </c>
      <c r="B2" s="15" t="s">
        <v>44</v>
      </c>
      <c r="C2" s="16"/>
      <c r="D2" s="16"/>
      <c r="E2" s="16"/>
      <c r="F2" s="16"/>
      <c r="G2" s="16"/>
      <c r="H2" s="16"/>
      <c r="I2" s="16"/>
      <c r="J2" s="16"/>
      <c r="K2" s="16"/>
    </row>
    <row r="3" customFormat="false" ht="22.35" hidden="false" customHeight="false" outlineLevel="0" collapsed="false">
      <c r="A3" s="17" t="s">
        <v>45</v>
      </c>
      <c r="B3" s="17" t="s">
        <v>46</v>
      </c>
      <c r="C3" s="17" t="s">
        <v>47</v>
      </c>
      <c r="D3" s="17" t="s">
        <v>48</v>
      </c>
      <c r="E3" s="18" t="s">
        <v>49</v>
      </c>
      <c r="F3" s="19" t="n">
        <v>3</v>
      </c>
      <c r="G3" s="20" t="n">
        <v>11700</v>
      </c>
      <c r="H3" s="18" t="s">
        <v>50</v>
      </c>
      <c r="I3" s="21"/>
      <c r="J3" s="20" t="str">
        <f aca="false">IF(OR($I3="",$H3="LOCAL"),"",ROUND($F3*$I3,0))</f>
        <v/>
      </c>
      <c r="K3" s="22"/>
    </row>
    <row r="4" customFormat="false" ht="15" hidden="false" customHeight="false" outlineLevel="0" collapsed="false">
      <c r="A4" s="17" t="s">
        <v>51</v>
      </c>
      <c r="B4" s="17" t="s">
        <v>52</v>
      </c>
      <c r="C4" s="17" t="s">
        <v>53</v>
      </c>
      <c r="D4" s="17" t="s">
        <v>54</v>
      </c>
      <c r="E4" s="18" t="s">
        <v>55</v>
      </c>
      <c r="F4" s="19" t="n">
        <v>4</v>
      </c>
      <c r="G4" s="20" t="n">
        <v>120</v>
      </c>
      <c r="H4" s="18" t="s">
        <v>50</v>
      </c>
      <c r="I4" s="21"/>
      <c r="J4" s="20" t="str">
        <f aca="false">IF(OR($I4="",$H4="LOCAL"),"",ROUND($F4*$I4,0))</f>
        <v/>
      </c>
      <c r="K4" s="22"/>
    </row>
    <row r="5" customFormat="false" ht="15" hidden="false" customHeight="false" outlineLevel="0" collapsed="false">
      <c r="A5" s="17" t="s">
        <v>56</v>
      </c>
      <c r="B5" s="17" t="s">
        <v>57</v>
      </c>
      <c r="C5" s="17" t="s">
        <v>58</v>
      </c>
      <c r="D5" s="17" t="s">
        <v>59</v>
      </c>
      <c r="E5" s="18" t="s">
        <v>49</v>
      </c>
      <c r="F5" s="19" t="n">
        <v>12</v>
      </c>
      <c r="G5" s="20" t="n">
        <v>96</v>
      </c>
      <c r="H5" s="18" t="s">
        <v>50</v>
      </c>
      <c r="I5" s="21"/>
      <c r="J5" s="20" t="str">
        <f aca="false">IF(OR($I5="",$H5="LOCAL"),"",ROUND($F5*$I5,0))</f>
        <v/>
      </c>
      <c r="K5" s="22"/>
    </row>
    <row r="6" customFormat="false" ht="22.35" hidden="false" customHeight="false" outlineLevel="0" collapsed="false">
      <c r="A6" s="17" t="s">
        <v>60</v>
      </c>
      <c r="B6" s="17" t="s">
        <v>61</v>
      </c>
      <c r="C6" s="17" t="s">
        <v>62</v>
      </c>
      <c r="D6" s="17" t="s">
        <v>63</v>
      </c>
      <c r="E6" s="18" t="s">
        <v>49</v>
      </c>
      <c r="F6" s="19" t="n">
        <v>3</v>
      </c>
      <c r="G6" s="23"/>
      <c r="H6" s="18" t="s">
        <v>50</v>
      </c>
      <c r="I6" s="21"/>
      <c r="J6" s="20" t="str">
        <f aca="false">IF(OR($I6="",$H6="LOCAL"),"",ROUND($F6*$I6,0))</f>
        <v/>
      </c>
      <c r="K6" s="22"/>
    </row>
    <row r="7" customFormat="false" ht="22.35" hidden="false" customHeight="false" outlineLevel="0" collapsed="false">
      <c r="A7" s="17" t="s">
        <v>64</v>
      </c>
      <c r="B7" s="17" t="s">
        <v>65</v>
      </c>
      <c r="C7" s="17" t="s">
        <v>66</v>
      </c>
      <c r="D7" s="17" t="s">
        <v>67</v>
      </c>
      <c r="E7" s="18" t="s">
        <v>68</v>
      </c>
      <c r="F7" s="19" t="n">
        <v>1</v>
      </c>
      <c r="G7" s="23"/>
      <c r="H7" s="18" t="s">
        <v>50</v>
      </c>
      <c r="I7" s="21"/>
      <c r="J7" s="20" t="str">
        <f aca="false">IF(OR($I7="",$H7="LOCAL"),"",ROUND($F7*$I7,0))</f>
        <v/>
      </c>
      <c r="K7" s="22"/>
    </row>
    <row r="8" customFormat="false" ht="15" hidden="false" customHeight="false" outlineLevel="0" collapsed="false">
      <c r="A8" s="15" t="s">
        <v>69</v>
      </c>
      <c r="B8" s="15" t="s">
        <v>70</v>
      </c>
      <c r="C8" s="16"/>
      <c r="D8" s="16"/>
      <c r="E8" s="16"/>
      <c r="F8" s="16"/>
      <c r="G8" s="16"/>
      <c r="H8" s="16"/>
      <c r="I8" s="16"/>
      <c r="J8" s="16"/>
      <c r="K8" s="16"/>
    </row>
    <row r="9" customFormat="false" ht="22.35" hidden="false" customHeight="false" outlineLevel="0" collapsed="false">
      <c r="A9" s="17" t="s">
        <v>71</v>
      </c>
      <c r="B9" s="17" t="s">
        <v>72</v>
      </c>
      <c r="C9" s="17" t="s">
        <v>73</v>
      </c>
      <c r="D9" s="17" t="s">
        <v>74</v>
      </c>
      <c r="E9" s="18" t="s">
        <v>49</v>
      </c>
      <c r="F9" s="19" t="n">
        <v>15</v>
      </c>
      <c r="G9" s="23"/>
      <c r="H9" s="18" t="s">
        <v>50</v>
      </c>
      <c r="I9" s="21"/>
      <c r="J9" s="20" t="str">
        <f aca="false">IF(OR($I9="",$H9="LOCAL"),"",ROUND($F9*$I9,0))</f>
        <v/>
      </c>
      <c r="K9" s="22"/>
    </row>
    <row r="10" customFormat="false" ht="15" hidden="false" customHeight="false" outlineLevel="0" collapsed="false">
      <c r="A10" s="17" t="s">
        <v>75</v>
      </c>
      <c r="B10" s="17" t="s">
        <v>76</v>
      </c>
      <c r="C10" s="17" t="s">
        <v>77</v>
      </c>
      <c r="D10" s="17" t="s">
        <v>78</v>
      </c>
      <c r="E10" s="18" t="s">
        <v>55</v>
      </c>
      <c r="F10" s="19" t="n">
        <v>15</v>
      </c>
      <c r="G10" s="20" t="n">
        <v>2100</v>
      </c>
      <c r="H10" s="18" t="s">
        <v>50</v>
      </c>
      <c r="I10" s="21"/>
      <c r="J10" s="20" t="str">
        <f aca="false">IF(OR($I10="",$H10="LOCAL"),"",ROUND($F10*$I10,0))</f>
        <v/>
      </c>
      <c r="K10" s="22"/>
    </row>
    <row r="11" customFormat="false" ht="15" hidden="false" customHeight="false" outlineLevel="0" collapsed="false">
      <c r="A11" s="17" t="s">
        <v>79</v>
      </c>
      <c r="B11" s="17" t="s">
        <v>80</v>
      </c>
      <c r="C11" s="17" t="s">
        <v>81</v>
      </c>
      <c r="D11" s="17"/>
      <c r="E11" s="18" t="s">
        <v>55</v>
      </c>
      <c r="F11" s="19" t="n">
        <v>15</v>
      </c>
      <c r="G11" s="20" t="n">
        <v>150</v>
      </c>
      <c r="H11" s="18" t="s">
        <v>50</v>
      </c>
      <c r="I11" s="21"/>
      <c r="J11" s="20" t="str">
        <f aca="false">IF(OR($I11="",$H11="LOCAL"),"",ROUND($F11*$I11,0))</f>
        <v/>
      </c>
      <c r="K11" s="22"/>
    </row>
    <row r="12" customFormat="false" ht="15" hidden="false" customHeight="false" outlineLevel="0" collapsed="false">
      <c r="A12" s="17" t="s">
        <v>82</v>
      </c>
      <c r="B12" s="17" t="s">
        <v>83</v>
      </c>
      <c r="C12" s="17" t="s">
        <v>84</v>
      </c>
      <c r="D12" s="17" t="s">
        <v>85</v>
      </c>
      <c r="E12" s="18" t="s">
        <v>55</v>
      </c>
      <c r="F12" s="19" t="n">
        <v>15</v>
      </c>
      <c r="G12" s="20" t="n">
        <v>90</v>
      </c>
      <c r="H12" s="18" t="s">
        <v>50</v>
      </c>
      <c r="I12" s="21"/>
      <c r="J12" s="20" t="str">
        <f aca="false">IF(OR($I12="",$H12="LOCAL"),"",ROUND($F12*$I12,0))</f>
        <v/>
      </c>
      <c r="K12" s="22"/>
    </row>
    <row r="13" customFormat="false" ht="15" hidden="false" customHeight="false" outlineLevel="0" collapsed="false">
      <c r="A13" s="17" t="s">
        <v>86</v>
      </c>
      <c r="B13" s="17" t="s">
        <v>87</v>
      </c>
      <c r="C13" s="17" t="s">
        <v>88</v>
      </c>
      <c r="D13" s="17" t="s">
        <v>89</v>
      </c>
      <c r="E13" s="18" t="s">
        <v>68</v>
      </c>
      <c r="F13" s="19" t="n">
        <v>1</v>
      </c>
      <c r="G13" s="23"/>
      <c r="H13" s="18" t="s">
        <v>50</v>
      </c>
      <c r="I13" s="21"/>
      <c r="J13" s="20" t="str">
        <f aca="false">IF(OR($I13="",$H13="LOCAL"),"",ROUND($F13*$I13,0))</f>
        <v/>
      </c>
      <c r="K13" s="22"/>
    </row>
    <row r="14" customFormat="false" ht="15" hidden="false" customHeight="false" outlineLevel="0" collapsed="false">
      <c r="A14" s="17" t="s">
        <v>90</v>
      </c>
      <c r="B14" s="17" t="s">
        <v>91</v>
      </c>
      <c r="C14" s="17" t="s">
        <v>92</v>
      </c>
      <c r="D14" s="17" t="s">
        <v>93</v>
      </c>
      <c r="E14" s="18" t="s">
        <v>68</v>
      </c>
      <c r="F14" s="19" t="n">
        <v>1</v>
      </c>
      <c r="G14" s="23"/>
      <c r="H14" s="18" t="s">
        <v>50</v>
      </c>
      <c r="I14" s="21"/>
      <c r="J14" s="20" t="str">
        <f aca="false">IF(OR($I14="",$H14="LOCAL"),"",ROUND($F14*$I14,0))</f>
        <v/>
      </c>
      <c r="K14" s="22"/>
    </row>
    <row r="15" customFormat="false" ht="15" hidden="false" customHeight="false" outlineLevel="0" collapsed="false">
      <c r="A15" s="17" t="s">
        <v>94</v>
      </c>
      <c r="B15" s="17" t="s">
        <v>95</v>
      </c>
      <c r="C15" s="17" t="s">
        <v>96</v>
      </c>
      <c r="D15" s="17"/>
      <c r="E15" s="18" t="s">
        <v>49</v>
      </c>
      <c r="F15" s="19" t="n">
        <v>1</v>
      </c>
      <c r="G15" s="20" t="n">
        <v>45</v>
      </c>
      <c r="H15" s="18" t="s">
        <v>50</v>
      </c>
      <c r="I15" s="21"/>
      <c r="J15" s="20" t="str">
        <f aca="false">IF(OR($I15="",$H15="LOCAL"),"",ROUND($F15*$I15,0))</f>
        <v/>
      </c>
      <c r="K15" s="22"/>
    </row>
    <row r="16" customFormat="false" ht="15" hidden="false" customHeight="false" outlineLevel="0" collapsed="false">
      <c r="A16" s="17" t="s">
        <v>97</v>
      </c>
      <c r="B16" s="17" t="s">
        <v>98</v>
      </c>
      <c r="C16" s="17" t="s">
        <v>99</v>
      </c>
      <c r="D16" s="17" t="s">
        <v>100</v>
      </c>
      <c r="E16" s="18" t="s">
        <v>101</v>
      </c>
      <c r="F16" s="19" t="n">
        <v>2</v>
      </c>
      <c r="G16" s="23"/>
      <c r="H16" s="18" t="s">
        <v>50</v>
      </c>
      <c r="I16" s="21"/>
      <c r="J16" s="20" t="str">
        <f aca="false">IF(OR($I16="",$H16="LOCAL"),"",ROUND($F16*$I16,0))</f>
        <v/>
      </c>
      <c r="K16" s="22"/>
    </row>
    <row r="17" customFormat="false" ht="15" hidden="false" customHeight="false" outlineLevel="0" collapsed="false">
      <c r="A17" s="17" t="s">
        <v>102</v>
      </c>
      <c r="B17" s="17" t="s">
        <v>103</v>
      </c>
      <c r="C17" s="17" t="s">
        <v>104</v>
      </c>
      <c r="D17" s="17" t="s">
        <v>105</v>
      </c>
      <c r="E17" s="18" t="s">
        <v>68</v>
      </c>
      <c r="F17" s="19" t="n">
        <v>1</v>
      </c>
      <c r="G17" s="20" t="n">
        <v>300</v>
      </c>
      <c r="H17" s="18" t="s">
        <v>50</v>
      </c>
      <c r="I17" s="21"/>
      <c r="J17" s="20" t="str">
        <f aca="false">IF(OR($I17="",$H17="LOCAL"),"",ROUND($F17*$I17,0))</f>
        <v/>
      </c>
      <c r="K17" s="22"/>
    </row>
    <row r="18" customFormat="false" ht="15" hidden="false" customHeight="false" outlineLevel="0" collapsed="false">
      <c r="A18" s="17" t="s">
        <v>106</v>
      </c>
      <c r="B18" s="17" t="s">
        <v>107</v>
      </c>
      <c r="C18" s="17" t="s">
        <v>108</v>
      </c>
      <c r="D18" s="17" t="s">
        <v>109</v>
      </c>
      <c r="E18" s="18" t="s">
        <v>55</v>
      </c>
      <c r="F18" s="19" t="n">
        <v>6</v>
      </c>
      <c r="G18" s="20" t="n">
        <v>30</v>
      </c>
      <c r="H18" s="18" t="s">
        <v>50</v>
      </c>
      <c r="I18" s="21"/>
      <c r="J18" s="20" t="str">
        <f aca="false">IF(OR($I18="",$H18="LOCAL"),"",ROUND($F18*$I18,0))</f>
        <v/>
      </c>
      <c r="K18" s="22"/>
    </row>
    <row r="19" customFormat="false" ht="15" hidden="false" customHeight="false" outlineLevel="0" collapsed="false">
      <c r="A19" s="17" t="s">
        <v>110</v>
      </c>
      <c r="B19" s="17" t="s">
        <v>111</v>
      </c>
      <c r="C19" s="17" t="s">
        <v>112</v>
      </c>
      <c r="D19" s="17"/>
      <c r="E19" s="18" t="s">
        <v>68</v>
      </c>
      <c r="F19" s="19" t="n">
        <v>1</v>
      </c>
      <c r="G19" s="23"/>
      <c r="H19" s="18" t="s">
        <v>50</v>
      </c>
      <c r="I19" s="21"/>
      <c r="J19" s="20" t="str">
        <f aca="false">IF(OR($I19="",$H19="LOCAL"),"",ROUND($F19*$I19,0))</f>
        <v/>
      </c>
      <c r="K19" s="22"/>
    </row>
    <row r="20" customFormat="false" ht="15" hidden="false" customHeight="false" outlineLevel="0" collapsed="false">
      <c r="A20" s="17" t="s">
        <v>113</v>
      </c>
      <c r="B20" s="17" t="s">
        <v>114</v>
      </c>
      <c r="C20" s="17" t="s">
        <v>115</v>
      </c>
      <c r="D20" s="17" t="s">
        <v>116</v>
      </c>
      <c r="E20" s="18" t="s">
        <v>49</v>
      </c>
      <c r="F20" s="19" t="n">
        <v>15</v>
      </c>
      <c r="G20" s="20" t="n">
        <v>120</v>
      </c>
      <c r="H20" s="18" t="s">
        <v>50</v>
      </c>
      <c r="I20" s="21"/>
      <c r="J20" s="20" t="str">
        <f aca="false">IF(OR($I20="",$H20="LOCAL"),"",ROUND($F20*$I20,0))</f>
        <v/>
      </c>
      <c r="K20" s="22"/>
    </row>
    <row r="21" customFormat="false" ht="15" hidden="false" customHeight="false" outlineLevel="0" collapsed="false">
      <c r="A21" s="17" t="s">
        <v>117</v>
      </c>
      <c r="B21" s="17" t="s">
        <v>118</v>
      </c>
      <c r="C21" s="17" t="s">
        <v>119</v>
      </c>
      <c r="D21" s="17"/>
      <c r="E21" s="18" t="s">
        <v>68</v>
      </c>
      <c r="F21" s="19" t="n">
        <v>1</v>
      </c>
      <c r="G21" s="23"/>
      <c r="H21" s="18" t="s">
        <v>50</v>
      </c>
      <c r="I21" s="21"/>
      <c r="J21" s="20" t="str">
        <f aca="false">IF(OR($I21="",$H21="LOCAL"),"",ROUND($F21*$I21,0))</f>
        <v/>
      </c>
      <c r="K21" s="22"/>
    </row>
    <row r="22" customFormat="false" ht="15" hidden="false" customHeight="false" outlineLevel="0" collapsed="false">
      <c r="A22" s="15" t="s">
        <v>120</v>
      </c>
      <c r="B22" s="15" t="s">
        <v>121</v>
      </c>
      <c r="C22" s="16"/>
      <c r="D22" s="16"/>
      <c r="E22" s="16"/>
      <c r="F22" s="16"/>
      <c r="G22" s="16"/>
      <c r="H22" s="16"/>
      <c r="I22" s="16"/>
      <c r="J22" s="16"/>
      <c r="K22" s="16"/>
    </row>
    <row r="23" customFormat="false" ht="15" hidden="false" customHeight="false" outlineLevel="0" collapsed="false">
      <c r="A23" s="17" t="s">
        <v>122</v>
      </c>
      <c r="B23" s="17" t="s">
        <v>123</v>
      </c>
      <c r="C23" s="17" t="s">
        <v>124</v>
      </c>
      <c r="D23" s="17" t="s">
        <v>125</v>
      </c>
      <c r="E23" s="18" t="s">
        <v>49</v>
      </c>
      <c r="F23" s="19" t="n">
        <v>12</v>
      </c>
      <c r="G23" s="20" t="n">
        <v>3701</v>
      </c>
      <c r="H23" s="18" t="s">
        <v>50</v>
      </c>
      <c r="I23" s="21"/>
      <c r="J23" s="20" t="str">
        <f aca="false">IF(OR($I23="",$H23="LOCAL"),"",ROUND($F23*$I23,0))</f>
        <v/>
      </c>
      <c r="K23" s="22"/>
    </row>
    <row r="24" customFormat="false" ht="15" hidden="false" customHeight="false" outlineLevel="0" collapsed="false">
      <c r="A24" s="17" t="s">
        <v>126</v>
      </c>
      <c r="B24" s="17" t="s">
        <v>127</v>
      </c>
      <c r="C24" s="17" t="s">
        <v>128</v>
      </c>
      <c r="D24" s="17" t="s">
        <v>129</v>
      </c>
      <c r="E24" s="18" t="s">
        <v>49</v>
      </c>
      <c r="F24" s="19" t="n">
        <v>12</v>
      </c>
      <c r="G24" s="20" t="n">
        <v>4747</v>
      </c>
      <c r="H24" s="18" t="s">
        <v>50</v>
      </c>
      <c r="I24" s="21"/>
      <c r="J24" s="20" t="str">
        <f aca="false">IF(OR($I24="",$H24="LOCAL"),"",ROUND($F24*$I24,0))</f>
        <v/>
      </c>
      <c r="K24" s="22"/>
    </row>
    <row r="25" customFormat="false" ht="22.35" hidden="false" customHeight="false" outlineLevel="0" collapsed="false">
      <c r="A25" s="17" t="s">
        <v>130</v>
      </c>
      <c r="B25" s="17" t="s">
        <v>131</v>
      </c>
      <c r="C25" s="17" t="s">
        <v>132</v>
      </c>
      <c r="D25" s="17" t="s">
        <v>133</v>
      </c>
      <c r="E25" s="18" t="s">
        <v>49</v>
      </c>
      <c r="F25" s="19" t="n">
        <v>12</v>
      </c>
      <c r="G25" s="20" t="n">
        <v>900</v>
      </c>
      <c r="H25" s="18" t="s">
        <v>50</v>
      </c>
      <c r="I25" s="21"/>
      <c r="J25" s="20" t="str">
        <f aca="false">IF(OR($I25="",$H25="LOCAL"),"",ROUND($F25*$I25,0))</f>
        <v/>
      </c>
      <c r="K25" s="22"/>
    </row>
    <row r="26" customFormat="false" ht="15" hidden="false" customHeight="false" outlineLevel="0" collapsed="false">
      <c r="A26" s="17" t="s">
        <v>134</v>
      </c>
      <c r="B26" s="17" t="s">
        <v>135</v>
      </c>
      <c r="C26" s="17" t="s">
        <v>136</v>
      </c>
      <c r="D26" s="17"/>
      <c r="E26" s="18" t="s">
        <v>55</v>
      </c>
      <c r="F26" s="19" t="n">
        <v>6</v>
      </c>
      <c r="G26" s="20" t="n">
        <v>240</v>
      </c>
      <c r="H26" s="18" t="s">
        <v>50</v>
      </c>
      <c r="I26" s="21"/>
      <c r="J26" s="20" t="str">
        <f aca="false">IF(OR($I26="",$H26="LOCAL"),"",ROUND($F26*$I26,0))</f>
        <v/>
      </c>
      <c r="K26" s="22"/>
    </row>
    <row r="27" customFormat="false" ht="15" hidden="false" customHeight="false" outlineLevel="0" collapsed="false">
      <c r="A27" s="17" t="s">
        <v>137</v>
      </c>
      <c r="B27" s="17" t="s">
        <v>138</v>
      </c>
      <c r="C27" s="17" t="s">
        <v>139</v>
      </c>
      <c r="D27" s="17"/>
      <c r="E27" s="18" t="s">
        <v>49</v>
      </c>
      <c r="F27" s="19" t="n">
        <v>12</v>
      </c>
      <c r="G27" s="20" t="n">
        <v>660</v>
      </c>
      <c r="H27" s="18" t="s">
        <v>50</v>
      </c>
      <c r="I27" s="21"/>
      <c r="J27" s="20" t="str">
        <f aca="false">IF(OR($I27="",$H27="LOCAL"),"",ROUND($F27*$I27,0))</f>
        <v/>
      </c>
      <c r="K27" s="22"/>
    </row>
    <row r="28" customFormat="false" ht="15" hidden="false" customHeight="false" outlineLevel="0" collapsed="false">
      <c r="A28" s="17" t="s">
        <v>140</v>
      </c>
      <c r="B28" s="17" t="s">
        <v>141</v>
      </c>
      <c r="C28" s="17" t="s">
        <v>142</v>
      </c>
      <c r="D28" s="17" t="s">
        <v>143</v>
      </c>
      <c r="E28" s="18" t="s">
        <v>49</v>
      </c>
      <c r="F28" s="19" t="n">
        <v>6</v>
      </c>
      <c r="G28" s="20" t="n">
        <v>1080</v>
      </c>
      <c r="H28" s="18" t="s">
        <v>50</v>
      </c>
      <c r="I28" s="21"/>
      <c r="J28" s="20" t="str">
        <f aca="false">IF(OR($I28="",$H28="LOCAL"),"",ROUND($F28*$I28,0))</f>
        <v/>
      </c>
      <c r="K28" s="22"/>
    </row>
    <row r="29" customFormat="false" ht="15" hidden="false" customHeight="false" outlineLevel="0" collapsed="false">
      <c r="A29" s="17" t="s">
        <v>144</v>
      </c>
      <c r="B29" s="17" t="s">
        <v>145</v>
      </c>
      <c r="C29" s="17" t="s">
        <v>146</v>
      </c>
      <c r="D29" s="17"/>
      <c r="E29" s="18" t="s">
        <v>55</v>
      </c>
      <c r="F29" s="19" t="n">
        <v>1</v>
      </c>
      <c r="G29" s="20" t="n">
        <v>400</v>
      </c>
      <c r="H29" s="18" t="s">
        <v>50</v>
      </c>
      <c r="I29" s="21"/>
      <c r="J29" s="20" t="str">
        <f aca="false">IF(OR($I29="",$H29="LOCAL"),"",ROUND($F29*$I29,0))</f>
        <v/>
      </c>
      <c r="K29" s="22"/>
    </row>
    <row r="30" customFormat="false" ht="15" hidden="false" customHeight="false" outlineLevel="0" collapsed="false">
      <c r="A30" s="17" t="s">
        <v>147</v>
      </c>
      <c r="B30" s="17" t="s">
        <v>148</v>
      </c>
      <c r="C30" s="17" t="s">
        <v>149</v>
      </c>
      <c r="D30" s="17" t="s">
        <v>150</v>
      </c>
      <c r="E30" s="18" t="s">
        <v>55</v>
      </c>
      <c r="F30" s="19" t="n">
        <v>12</v>
      </c>
      <c r="G30" s="20" t="n">
        <v>120</v>
      </c>
      <c r="H30" s="18" t="s">
        <v>50</v>
      </c>
      <c r="I30" s="21"/>
      <c r="J30" s="20" t="str">
        <f aca="false">IF(OR($I30="",$H30="LOCAL"),"",ROUND($F30*$I30,0))</f>
        <v/>
      </c>
      <c r="K30" s="22"/>
    </row>
    <row r="31" customFormat="false" ht="15" hidden="false" customHeight="false" outlineLevel="0" collapsed="false">
      <c r="A31" s="17" t="s">
        <v>151</v>
      </c>
      <c r="B31" s="17" t="s">
        <v>152</v>
      </c>
      <c r="C31" s="17" t="s">
        <v>153</v>
      </c>
      <c r="D31" s="17" t="s">
        <v>154</v>
      </c>
      <c r="E31" s="18" t="s">
        <v>68</v>
      </c>
      <c r="F31" s="19" t="n">
        <v>1</v>
      </c>
      <c r="G31" s="20" t="n">
        <v>350</v>
      </c>
      <c r="H31" s="18" t="s">
        <v>50</v>
      </c>
      <c r="I31" s="21"/>
      <c r="J31" s="20" t="str">
        <f aca="false">IF(OR($I31="",$H31="LOCAL"),"",ROUND($F31*$I31,0))</f>
        <v/>
      </c>
      <c r="K31" s="22"/>
    </row>
    <row r="32" customFormat="false" ht="15" hidden="false" customHeight="false" outlineLevel="0" collapsed="false">
      <c r="A32" s="17" t="s">
        <v>155</v>
      </c>
      <c r="B32" s="17" t="s">
        <v>156</v>
      </c>
      <c r="C32" s="17" t="s">
        <v>157</v>
      </c>
      <c r="D32" s="17"/>
      <c r="E32" s="18" t="s">
        <v>68</v>
      </c>
      <c r="F32" s="19" t="n">
        <v>1</v>
      </c>
      <c r="G32" s="20" t="n">
        <v>450</v>
      </c>
      <c r="H32" s="18" t="s">
        <v>50</v>
      </c>
      <c r="I32" s="21"/>
      <c r="J32" s="20" t="str">
        <f aca="false">IF(OR($I32="",$H32="LOCAL"),"",ROUND($F32*$I32,0))</f>
        <v/>
      </c>
      <c r="K32" s="22"/>
    </row>
    <row r="33" customFormat="false" ht="15" hidden="false" customHeight="false" outlineLevel="0" collapsed="false">
      <c r="A33" s="17" t="s">
        <v>158</v>
      </c>
      <c r="B33" s="17" t="s">
        <v>159</v>
      </c>
      <c r="C33" s="17" t="s">
        <v>160</v>
      </c>
      <c r="D33" s="17" t="s">
        <v>161</v>
      </c>
      <c r="E33" s="18" t="s">
        <v>68</v>
      </c>
      <c r="F33" s="19" t="n">
        <v>1</v>
      </c>
      <c r="G33" s="20" t="n">
        <v>240</v>
      </c>
      <c r="H33" s="18" t="s">
        <v>50</v>
      </c>
      <c r="I33" s="21"/>
      <c r="J33" s="20" t="str">
        <f aca="false">IF(OR($I33="",$H33="LOCAL"),"",ROUND($F33*$I33,0))</f>
        <v/>
      </c>
      <c r="K33" s="22"/>
    </row>
    <row r="34" customFormat="false" ht="22.35" hidden="false" customHeight="false" outlineLevel="0" collapsed="false">
      <c r="A34" s="17" t="s">
        <v>162</v>
      </c>
      <c r="B34" s="17" t="s">
        <v>163</v>
      </c>
      <c r="C34" s="17" t="s">
        <v>164</v>
      </c>
      <c r="D34" s="17" t="s">
        <v>165</v>
      </c>
      <c r="E34" s="18" t="s">
        <v>68</v>
      </c>
      <c r="F34" s="19" t="n">
        <v>1</v>
      </c>
      <c r="G34" s="23"/>
      <c r="H34" s="18" t="s">
        <v>50</v>
      </c>
      <c r="I34" s="21"/>
      <c r="J34" s="20" t="str">
        <f aca="false">IF(OR($I34="",$H34="LOCAL"),"",ROUND($F34*$I34,0))</f>
        <v/>
      </c>
      <c r="K34" s="22"/>
    </row>
    <row r="35" customFormat="false" ht="15" hidden="false" customHeight="false" outlineLevel="0" collapsed="false">
      <c r="A35" s="15" t="s">
        <v>166</v>
      </c>
      <c r="B35" s="15" t="s">
        <v>167</v>
      </c>
      <c r="C35" s="16"/>
      <c r="D35" s="16"/>
      <c r="E35" s="16"/>
      <c r="F35" s="16"/>
      <c r="G35" s="16"/>
      <c r="H35" s="16"/>
      <c r="I35" s="16"/>
      <c r="J35" s="16"/>
      <c r="K35" s="16"/>
    </row>
    <row r="36" customFormat="false" ht="15" hidden="false" customHeight="false" outlineLevel="0" collapsed="false">
      <c r="A36" s="17" t="s">
        <v>168</v>
      </c>
      <c r="B36" s="17" t="s">
        <v>169</v>
      </c>
      <c r="C36" s="17" t="s">
        <v>170</v>
      </c>
      <c r="D36" s="17" t="s">
        <v>171</v>
      </c>
      <c r="E36" s="18" t="s">
        <v>34</v>
      </c>
      <c r="F36" s="19" t="n">
        <v>242</v>
      </c>
      <c r="G36" s="20" t="n">
        <v>1375</v>
      </c>
      <c r="H36" s="18" t="s">
        <v>50</v>
      </c>
      <c r="I36" s="21"/>
      <c r="J36" s="20" t="str">
        <f aca="false">IF(OR($I36="",$H36="LOCAL"),"",ROUND($F36*$I36,0))</f>
        <v/>
      </c>
      <c r="K36" s="22"/>
    </row>
    <row r="37" customFormat="false" ht="15" hidden="false" customHeight="false" outlineLevel="0" collapsed="false">
      <c r="A37" s="17" t="s">
        <v>172</v>
      </c>
      <c r="B37" s="17" t="s">
        <v>173</v>
      </c>
      <c r="C37" s="17" t="s">
        <v>174</v>
      </c>
      <c r="D37" s="17" t="s">
        <v>175</v>
      </c>
      <c r="E37" s="18" t="s">
        <v>34</v>
      </c>
      <c r="F37" s="19" t="n">
        <v>240</v>
      </c>
      <c r="G37" s="20" t="n">
        <v>1070</v>
      </c>
      <c r="H37" s="18" t="s">
        <v>50</v>
      </c>
      <c r="I37" s="21"/>
      <c r="J37" s="20" t="str">
        <f aca="false">IF(OR($I37="",$H37="LOCAL"),"",ROUND($F37*$I37,0))</f>
        <v/>
      </c>
      <c r="K37" s="22"/>
    </row>
    <row r="38" customFormat="false" ht="15" hidden="false" customHeight="false" outlineLevel="0" collapsed="false">
      <c r="A38" s="17" t="s">
        <v>176</v>
      </c>
      <c r="B38" s="17" t="s">
        <v>177</v>
      </c>
      <c r="C38" s="17" t="s">
        <v>174</v>
      </c>
      <c r="D38" s="17" t="s">
        <v>178</v>
      </c>
      <c r="E38" s="18" t="s">
        <v>34</v>
      </c>
      <c r="F38" s="24" t="n">
        <v>29.3</v>
      </c>
      <c r="G38" s="20" t="n">
        <v>166</v>
      </c>
      <c r="H38" s="18" t="s">
        <v>50</v>
      </c>
      <c r="I38" s="21"/>
      <c r="J38" s="20" t="str">
        <f aca="false">IF(OR($I38="",$H38="LOCAL"),"",ROUND($F38*$I38,0))</f>
        <v/>
      </c>
      <c r="K38" s="22"/>
    </row>
    <row r="39" customFormat="false" ht="15" hidden="false" customHeight="false" outlineLevel="0" collapsed="false">
      <c r="A39" s="17" t="s">
        <v>179</v>
      </c>
      <c r="B39" s="17" t="s">
        <v>180</v>
      </c>
      <c r="C39" s="17" t="s">
        <v>181</v>
      </c>
      <c r="D39" s="17"/>
      <c r="E39" s="18" t="s">
        <v>68</v>
      </c>
      <c r="F39" s="19" t="n">
        <v>1</v>
      </c>
      <c r="G39" s="20" t="n">
        <v>120</v>
      </c>
      <c r="H39" s="18" t="s">
        <v>50</v>
      </c>
      <c r="I39" s="21"/>
      <c r="J39" s="20" t="str">
        <f aca="false">IF(OR($I39="",$H39="LOCAL"),"",ROUND($F39*$I39,0))</f>
        <v/>
      </c>
      <c r="K39" s="22"/>
    </row>
    <row r="40" customFormat="false" ht="15" hidden="false" customHeight="false" outlineLevel="0" collapsed="false">
      <c r="A40" s="17" t="s">
        <v>182</v>
      </c>
      <c r="B40" s="17" t="s">
        <v>183</v>
      </c>
      <c r="C40" s="17" t="s">
        <v>184</v>
      </c>
      <c r="D40" s="17"/>
      <c r="E40" s="18" t="s">
        <v>68</v>
      </c>
      <c r="F40" s="19" t="n">
        <v>1</v>
      </c>
      <c r="G40" s="20" t="n">
        <v>180</v>
      </c>
      <c r="H40" s="18" t="s">
        <v>50</v>
      </c>
      <c r="I40" s="21"/>
      <c r="J40" s="20" t="str">
        <f aca="false">IF(OR($I40="",$H40="LOCAL"),"",ROUND($F40*$I40,0))</f>
        <v/>
      </c>
      <c r="K40" s="22"/>
    </row>
    <row r="41" customFormat="false" ht="15" hidden="false" customHeight="false" outlineLevel="0" collapsed="false">
      <c r="A41" s="17" t="s">
        <v>185</v>
      </c>
      <c r="B41" s="17" t="s">
        <v>186</v>
      </c>
      <c r="C41" s="17" t="s">
        <v>187</v>
      </c>
      <c r="D41" s="17"/>
      <c r="E41" s="18" t="s">
        <v>68</v>
      </c>
      <c r="F41" s="19" t="n">
        <v>1</v>
      </c>
      <c r="G41" s="20" t="n">
        <v>120</v>
      </c>
      <c r="H41" s="18" t="s">
        <v>50</v>
      </c>
      <c r="I41" s="21"/>
      <c r="J41" s="20" t="str">
        <f aca="false">IF(OR($I41="",$H41="LOCAL"),"",ROUND($F41*$I41,0))</f>
        <v/>
      </c>
      <c r="K41" s="22"/>
    </row>
    <row r="42" customFormat="false" ht="15" hidden="false" customHeight="false" outlineLevel="0" collapsed="false">
      <c r="A42" s="17" t="s">
        <v>188</v>
      </c>
      <c r="B42" s="17" t="s">
        <v>189</v>
      </c>
      <c r="C42" s="17" t="s">
        <v>190</v>
      </c>
      <c r="D42" s="17"/>
      <c r="E42" s="18" t="s">
        <v>49</v>
      </c>
      <c r="F42" s="19" t="n">
        <v>48</v>
      </c>
      <c r="G42" s="20" t="n">
        <v>110</v>
      </c>
      <c r="H42" s="18" t="s">
        <v>50</v>
      </c>
      <c r="I42" s="21"/>
      <c r="J42" s="20" t="str">
        <f aca="false">IF(OR($I42="",$H42="LOCAL"),"",ROUND($F42*$I42,0))</f>
        <v/>
      </c>
      <c r="K42" s="22"/>
    </row>
    <row r="43" customFormat="false" ht="15" hidden="false" customHeight="false" outlineLevel="0" collapsed="false">
      <c r="A43" s="17" t="s">
        <v>191</v>
      </c>
      <c r="B43" s="17" t="s">
        <v>192</v>
      </c>
      <c r="C43" s="17" t="s">
        <v>193</v>
      </c>
      <c r="D43" s="17"/>
      <c r="E43" s="18" t="s">
        <v>68</v>
      </c>
      <c r="F43" s="19" t="n">
        <v>1</v>
      </c>
      <c r="G43" s="20" t="n">
        <v>160</v>
      </c>
      <c r="H43" s="18" t="s">
        <v>50</v>
      </c>
      <c r="I43" s="21"/>
      <c r="J43" s="20" t="str">
        <f aca="false">IF(OR($I43="",$H43="LOCAL"),"",ROUND($F43*$I43,0))</f>
        <v/>
      </c>
      <c r="K43" s="22"/>
    </row>
    <row r="44" customFormat="false" ht="15" hidden="false" customHeight="false" outlineLevel="0" collapsed="false">
      <c r="A44" s="17" t="s">
        <v>194</v>
      </c>
      <c r="B44" s="17" t="s">
        <v>195</v>
      </c>
      <c r="C44" s="17" t="s">
        <v>196</v>
      </c>
      <c r="D44" s="17" t="s">
        <v>197</v>
      </c>
      <c r="E44" s="18" t="s">
        <v>49</v>
      </c>
      <c r="F44" s="19" t="n">
        <v>1</v>
      </c>
      <c r="G44" s="20" t="n">
        <v>220</v>
      </c>
      <c r="H44" s="18" t="s">
        <v>50</v>
      </c>
      <c r="I44" s="21"/>
      <c r="J44" s="20" t="str">
        <f aca="false">IF(OR($I44="",$H44="LOCAL"),"",ROUND($F44*$I44,0))</f>
        <v/>
      </c>
      <c r="K44" s="22"/>
    </row>
    <row r="45" customFormat="false" ht="15" hidden="false" customHeight="false" outlineLevel="0" collapsed="false">
      <c r="A45" s="17" t="s">
        <v>198</v>
      </c>
      <c r="B45" s="17" t="s">
        <v>199</v>
      </c>
      <c r="C45" s="17" t="s">
        <v>200</v>
      </c>
      <c r="D45" s="17"/>
      <c r="E45" s="18" t="s">
        <v>49</v>
      </c>
      <c r="F45" s="19" t="n">
        <v>1</v>
      </c>
      <c r="G45" s="20" t="n">
        <v>60</v>
      </c>
      <c r="H45" s="18" t="s">
        <v>50</v>
      </c>
      <c r="I45" s="21"/>
      <c r="J45" s="20" t="str">
        <f aca="false">IF(OR($I45="",$H45="LOCAL"),"",ROUND($F45*$I45,0))</f>
        <v/>
      </c>
      <c r="K45" s="22"/>
    </row>
    <row r="46" customFormat="false" ht="15" hidden="false" customHeight="false" outlineLevel="0" collapsed="false">
      <c r="A46" s="17" t="s">
        <v>201</v>
      </c>
      <c r="B46" s="17" t="s">
        <v>202</v>
      </c>
      <c r="C46" s="17" t="s">
        <v>203</v>
      </c>
      <c r="D46" s="17" t="s">
        <v>204</v>
      </c>
      <c r="E46" s="18" t="s">
        <v>49</v>
      </c>
      <c r="F46" s="19" t="n">
        <v>1</v>
      </c>
      <c r="G46" s="20" t="n">
        <v>110</v>
      </c>
      <c r="H46" s="18" t="s">
        <v>50</v>
      </c>
      <c r="I46" s="21"/>
      <c r="J46" s="20" t="str">
        <f aca="false">IF(OR($I46="",$H46="LOCAL"),"",ROUND($F46*$I46,0))</f>
        <v/>
      </c>
      <c r="K46" s="22"/>
    </row>
    <row r="47" customFormat="false" ht="15" hidden="false" customHeight="false" outlineLevel="0" collapsed="false">
      <c r="A47" s="15" t="s">
        <v>205</v>
      </c>
      <c r="B47" s="15" t="s">
        <v>206</v>
      </c>
      <c r="C47" s="16"/>
      <c r="D47" s="16"/>
      <c r="E47" s="16"/>
      <c r="F47" s="16"/>
      <c r="G47" s="16"/>
      <c r="H47" s="16"/>
      <c r="I47" s="16"/>
      <c r="J47" s="16"/>
      <c r="K47" s="16"/>
    </row>
    <row r="48" customFormat="false" ht="15" hidden="false" customHeight="false" outlineLevel="0" collapsed="false">
      <c r="A48" s="17" t="s">
        <v>207</v>
      </c>
      <c r="B48" s="17" t="s">
        <v>208</v>
      </c>
      <c r="C48" s="17" t="s">
        <v>209</v>
      </c>
      <c r="D48" s="17"/>
      <c r="E48" s="18" t="s">
        <v>68</v>
      </c>
      <c r="F48" s="19" t="n">
        <v>1</v>
      </c>
      <c r="G48" s="20" t="n">
        <v>260</v>
      </c>
      <c r="H48" s="18" t="s">
        <v>50</v>
      </c>
      <c r="I48" s="21"/>
      <c r="J48" s="20" t="str">
        <f aca="false">IF(OR($I48="",$H48="LOCAL"),"",ROUND($F48*$I48,0))</f>
        <v/>
      </c>
      <c r="K48" s="22"/>
    </row>
    <row r="49" customFormat="false" ht="15" hidden="false" customHeight="false" outlineLevel="0" collapsed="false">
      <c r="A49" s="17" t="s">
        <v>210</v>
      </c>
      <c r="B49" s="17" t="s">
        <v>211</v>
      </c>
      <c r="C49" s="17" t="s">
        <v>212</v>
      </c>
      <c r="D49" s="17"/>
      <c r="E49" s="18" t="s">
        <v>68</v>
      </c>
      <c r="F49" s="19" t="n">
        <v>1</v>
      </c>
      <c r="G49" s="20" t="n">
        <v>480</v>
      </c>
      <c r="H49" s="18" t="s">
        <v>50</v>
      </c>
      <c r="I49" s="21"/>
      <c r="J49" s="20" t="str">
        <f aca="false">IF(OR($I49="",$H49="LOCAL"),"",ROUND($F49*$I49,0))</f>
        <v/>
      </c>
      <c r="K49" s="22"/>
    </row>
    <row r="50" customFormat="false" ht="15" hidden="false" customHeight="false" outlineLevel="0" collapsed="false">
      <c r="A50" s="17" t="s">
        <v>213</v>
      </c>
      <c r="B50" s="17" t="s">
        <v>214</v>
      </c>
      <c r="C50" s="17" t="s">
        <v>215</v>
      </c>
      <c r="D50" s="17"/>
      <c r="E50" s="18" t="s">
        <v>34</v>
      </c>
      <c r="F50" s="19" t="n">
        <v>44</v>
      </c>
      <c r="G50" s="20" t="n">
        <v>535</v>
      </c>
      <c r="H50" s="18" t="s">
        <v>50</v>
      </c>
      <c r="I50" s="21"/>
      <c r="J50" s="20" t="str">
        <f aca="false">IF(OR($I50="",$H50="LOCAL"),"",ROUND($F50*$I50,0))</f>
        <v/>
      </c>
      <c r="K50" s="22"/>
    </row>
    <row r="51" customFormat="false" ht="15" hidden="false" customHeight="false" outlineLevel="0" collapsed="false">
      <c r="A51" s="17" t="s">
        <v>216</v>
      </c>
      <c r="B51" s="17" t="s">
        <v>217</v>
      </c>
      <c r="C51" s="17" t="s">
        <v>218</v>
      </c>
      <c r="D51" s="17"/>
      <c r="E51" s="18" t="s">
        <v>68</v>
      </c>
      <c r="F51" s="19" t="n">
        <v>1</v>
      </c>
      <c r="G51" s="20" t="n">
        <v>120</v>
      </c>
      <c r="H51" s="18" t="s">
        <v>50</v>
      </c>
      <c r="I51" s="21"/>
      <c r="J51" s="20" t="str">
        <f aca="false">IF(OR($I51="",$H51="LOCAL"),"",ROUND($F51*$I51,0))</f>
        <v/>
      </c>
      <c r="K51" s="22"/>
    </row>
    <row r="52" customFormat="false" ht="15" hidden="false" customHeight="false" outlineLevel="0" collapsed="false">
      <c r="A52" s="17" t="s">
        <v>219</v>
      </c>
      <c r="B52" s="17" t="s">
        <v>220</v>
      </c>
      <c r="C52" s="17" t="s">
        <v>221</v>
      </c>
      <c r="D52" s="17"/>
      <c r="E52" s="18" t="s">
        <v>68</v>
      </c>
      <c r="F52" s="19" t="n">
        <v>1</v>
      </c>
      <c r="G52" s="20" t="n">
        <v>90</v>
      </c>
      <c r="H52" s="18" t="s">
        <v>50</v>
      </c>
      <c r="I52" s="21"/>
      <c r="J52" s="20" t="str">
        <f aca="false">IF(OR($I52="",$H52="LOCAL"),"",ROUND($F52*$I52,0))</f>
        <v/>
      </c>
      <c r="K52" s="22"/>
    </row>
    <row r="53" customFormat="false" ht="15" hidden="false" customHeight="false" outlineLevel="0" collapsed="false">
      <c r="A53" s="17" t="s">
        <v>222</v>
      </c>
      <c r="B53" s="17" t="s">
        <v>223</v>
      </c>
      <c r="C53" s="17" t="s">
        <v>224</v>
      </c>
      <c r="D53" s="17"/>
      <c r="E53" s="18" t="s">
        <v>49</v>
      </c>
      <c r="F53" s="19" t="n">
        <v>24</v>
      </c>
      <c r="G53" s="20" t="n">
        <v>60</v>
      </c>
      <c r="H53" s="18" t="s">
        <v>50</v>
      </c>
      <c r="I53" s="21"/>
      <c r="J53" s="20" t="str">
        <f aca="false">IF(OR($I53="",$H53="LOCAL"),"",ROUND($F53*$I53,0))</f>
        <v/>
      </c>
      <c r="K53" s="22"/>
    </row>
    <row r="54" customFormat="false" ht="15" hidden="false" customHeight="false" outlineLevel="0" collapsed="false">
      <c r="A54" s="15" t="s">
        <v>225</v>
      </c>
      <c r="B54" s="15" t="s">
        <v>226</v>
      </c>
      <c r="C54" s="16"/>
      <c r="D54" s="16"/>
      <c r="E54" s="16"/>
      <c r="F54" s="16"/>
      <c r="G54" s="16"/>
      <c r="H54" s="16"/>
      <c r="I54" s="16"/>
      <c r="J54" s="16"/>
      <c r="K54" s="16"/>
    </row>
    <row r="55" customFormat="false" ht="15" hidden="false" customHeight="false" outlineLevel="0" collapsed="false">
      <c r="A55" s="17" t="s">
        <v>227</v>
      </c>
      <c r="B55" s="17" t="s">
        <v>228</v>
      </c>
      <c r="C55" s="17" t="s">
        <v>229</v>
      </c>
      <c r="D55" s="17" t="s">
        <v>230</v>
      </c>
      <c r="E55" s="18" t="s">
        <v>49</v>
      </c>
      <c r="F55" s="19" t="n">
        <v>4</v>
      </c>
      <c r="G55" s="20" t="n">
        <v>1395</v>
      </c>
      <c r="H55" s="18" t="s">
        <v>50</v>
      </c>
      <c r="I55" s="21"/>
      <c r="J55" s="20" t="str">
        <f aca="false">IF(OR($I55="",$H55="LOCAL"),"",ROUND($F55*$I55,0))</f>
        <v/>
      </c>
      <c r="K55" s="22"/>
    </row>
    <row r="56" customFormat="false" ht="15" hidden="false" customHeight="false" outlineLevel="0" collapsed="false">
      <c r="A56" s="17" t="s">
        <v>231</v>
      </c>
      <c r="B56" s="17" t="s">
        <v>232</v>
      </c>
      <c r="C56" s="17" t="s">
        <v>233</v>
      </c>
      <c r="D56" s="17" t="s">
        <v>234</v>
      </c>
      <c r="E56" s="18" t="s">
        <v>49</v>
      </c>
      <c r="F56" s="19" t="n">
        <v>12</v>
      </c>
      <c r="G56" s="20" t="n">
        <v>540</v>
      </c>
      <c r="H56" s="18" t="s">
        <v>50</v>
      </c>
      <c r="I56" s="21"/>
      <c r="J56" s="20" t="str">
        <f aca="false">IF(OR($I56="",$H56="LOCAL"),"",ROUND($F56*$I56,0))</f>
        <v/>
      </c>
      <c r="K56" s="22"/>
    </row>
    <row r="57" customFormat="false" ht="15" hidden="false" customHeight="false" outlineLevel="0" collapsed="false">
      <c r="A57" s="17" t="s">
        <v>235</v>
      </c>
      <c r="B57" s="17" t="s">
        <v>236</v>
      </c>
      <c r="C57" s="17" t="s">
        <v>237</v>
      </c>
      <c r="D57" s="17" t="s">
        <v>238</v>
      </c>
      <c r="E57" s="18" t="s">
        <v>34</v>
      </c>
      <c r="F57" s="24" t="n">
        <v>29.6</v>
      </c>
      <c r="G57" s="20" t="n">
        <v>349</v>
      </c>
      <c r="H57" s="18" t="s">
        <v>50</v>
      </c>
      <c r="I57" s="21"/>
      <c r="J57" s="20" t="str">
        <f aca="false">IF(OR($I57="",$H57="LOCAL"),"",ROUND($F57*$I57,0))</f>
        <v/>
      </c>
      <c r="K57" s="22"/>
    </row>
    <row r="58" customFormat="false" ht="15" hidden="false" customHeight="false" outlineLevel="0" collapsed="false">
      <c r="A58" s="17" t="s">
        <v>239</v>
      </c>
      <c r="B58" s="17" t="s">
        <v>240</v>
      </c>
      <c r="C58" s="17" t="s">
        <v>241</v>
      </c>
      <c r="D58" s="17"/>
      <c r="E58" s="18" t="s">
        <v>68</v>
      </c>
      <c r="F58" s="19" t="n">
        <v>1</v>
      </c>
      <c r="G58" s="20" t="n">
        <v>60</v>
      </c>
      <c r="H58" s="18" t="s">
        <v>50</v>
      </c>
      <c r="I58" s="21"/>
      <c r="J58" s="20" t="str">
        <f aca="false">IF(OR($I58="",$H58="LOCAL"),"",ROUND($F58*$I58,0))</f>
        <v/>
      </c>
      <c r="K58" s="22"/>
    </row>
    <row r="59" customFormat="false" ht="15" hidden="false" customHeight="false" outlineLevel="0" collapsed="false">
      <c r="A59" s="17" t="s">
        <v>242</v>
      </c>
      <c r="B59" s="17" t="s">
        <v>243</v>
      </c>
      <c r="C59" s="17" t="s">
        <v>244</v>
      </c>
      <c r="D59" s="17"/>
      <c r="E59" s="18" t="s">
        <v>55</v>
      </c>
      <c r="F59" s="19" t="n">
        <v>6</v>
      </c>
      <c r="G59" s="20" t="n">
        <v>90</v>
      </c>
      <c r="H59" s="18" t="s">
        <v>50</v>
      </c>
      <c r="I59" s="21"/>
      <c r="J59" s="20" t="str">
        <f aca="false">IF(OR($I59="",$H59="LOCAL"),"",ROUND($F59*$I59,0))</f>
        <v/>
      </c>
      <c r="K59" s="22"/>
    </row>
    <row r="60" customFormat="false" ht="15" hidden="false" customHeight="false" outlineLevel="0" collapsed="false">
      <c r="A60" s="17" t="s">
        <v>245</v>
      </c>
      <c r="B60" s="17" t="s">
        <v>246</v>
      </c>
      <c r="C60" s="17" t="s">
        <v>247</v>
      </c>
      <c r="D60" s="17"/>
      <c r="E60" s="18" t="s">
        <v>49</v>
      </c>
      <c r="F60" s="19" t="n">
        <v>4</v>
      </c>
      <c r="G60" s="20" t="n">
        <v>72</v>
      </c>
      <c r="H60" s="18" t="s">
        <v>50</v>
      </c>
      <c r="I60" s="21"/>
      <c r="J60" s="20" t="str">
        <f aca="false">IF(OR($I60="",$H60="LOCAL"),"",ROUND($F60*$I60,0))</f>
        <v/>
      </c>
      <c r="K60" s="22"/>
    </row>
    <row r="61" customFormat="false" ht="15" hidden="false" customHeight="false" outlineLevel="0" collapsed="false">
      <c r="A61" s="17" t="s">
        <v>248</v>
      </c>
      <c r="B61" s="17" t="s">
        <v>249</v>
      </c>
      <c r="C61" s="17" t="s">
        <v>250</v>
      </c>
      <c r="D61" s="17"/>
      <c r="E61" s="18" t="s">
        <v>68</v>
      </c>
      <c r="F61" s="19" t="n">
        <v>1</v>
      </c>
      <c r="G61" s="20" t="n">
        <v>30</v>
      </c>
      <c r="H61" s="18" t="s">
        <v>50</v>
      </c>
      <c r="I61" s="21"/>
      <c r="J61" s="20" t="str">
        <f aca="false">IF(OR($I61="",$H61="LOCAL"),"",ROUND($F61*$I61,0))</f>
        <v/>
      </c>
      <c r="K61" s="22"/>
    </row>
    <row r="62" customFormat="false" ht="15" hidden="false" customHeight="false" outlineLevel="0" collapsed="false">
      <c r="A62" s="17" t="s">
        <v>251</v>
      </c>
      <c r="B62" s="17" t="s">
        <v>252</v>
      </c>
      <c r="C62" s="17" t="s">
        <v>253</v>
      </c>
      <c r="D62" s="17"/>
      <c r="E62" s="18" t="s">
        <v>68</v>
      </c>
      <c r="F62" s="19" t="n">
        <v>1</v>
      </c>
      <c r="G62" s="20" t="n">
        <v>40</v>
      </c>
      <c r="H62" s="18" t="s">
        <v>50</v>
      </c>
      <c r="I62" s="21"/>
      <c r="J62" s="20" t="str">
        <f aca="false">IF(OR($I62="",$H62="LOCAL"),"",ROUND($F62*$I62,0))</f>
        <v/>
      </c>
      <c r="K62" s="22"/>
    </row>
    <row r="63" customFormat="false" ht="15" hidden="false" customHeight="false" outlineLevel="0" collapsed="false">
      <c r="A63" s="15" t="s">
        <v>254</v>
      </c>
      <c r="B63" s="15" t="s">
        <v>255</v>
      </c>
      <c r="C63" s="16"/>
      <c r="D63" s="16"/>
      <c r="E63" s="16"/>
      <c r="F63" s="16"/>
      <c r="G63" s="16"/>
      <c r="H63" s="16"/>
      <c r="I63" s="16"/>
      <c r="J63" s="16"/>
      <c r="K63" s="16"/>
    </row>
    <row r="64" customFormat="false" ht="15" hidden="false" customHeight="false" outlineLevel="0" collapsed="false">
      <c r="A64" s="17" t="s">
        <v>256</v>
      </c>
      <c r="B64" s="17" t="s">
        <v>257</v>
      </c>
      <c r="C64" s="17" t="s">
        <v>258</v>
      </c>
      <c r="D64" s="17" t="s">
        <v>259</v>
      </c>
      <c r="E64" s="18" t="s">
        <v>49</v>
      </c>
      <c r="F64" s="19" t="n">
        <v>1</v>
      </c>
      <c r="G64" s="20" t="n">
        <v>3000</v>
      </c>
      <c r="H64" s="18" t="s">
        <v>50</v>
      </c>
      <c r="I64" s="21"/>
      <c r="J64" s="20" t="str">
        <f aca="false">IF(OR($I64="",$H64="LOCAL"),"",ROUND($F64*$I64,0))</f>
        <v/>
      </c>
      <c r="K64" s="22"/>
    </row>
    <row r="65" customFormat="false" ht="15" hidden="false" customHeight="false" outlineLevel="0" collapsed="false">
      <c r="A65" s="17" t="s">
        <v>260</v>
      </c>
      <c r="B65" s="17" t="s">
        <v>261</v>
      </c>
      <c r="C65" s="17" t="s">
        <v>262</v>
      </c>
      <c r="D65" s="17" t="s">
        <v>263</v>
      </c>
      <c r="E65" s="18" t="s">
        <v>49</v>
      </c>
      <c r="F65" s="19" t="n">
        <v>1</v>
      </c>
      <c r="G65" s="20" t="n">
        <v>250</v>
      </c>
      <c r="H65" s="18" t="s">
        <v>50</v>
      </c>
      <c r="I65" s="21"/>
      <c r="J65" s="20" t="str">
        <f aca="false">IF(OR($I65="",$H65="LOCAL"),"",ROUND($F65*$I65,0))</f>
        <v/>
      </c>
      <c r="K65" s="22"/>
    </row>
    <row r="66" customFormat="false" ht="15" hidden="false" customHeight="false" outlineLevel="0" collapsed="false">
      <c r="A66" s="17" t="s">
        <v>264</v>
      </c>
      <c r="B66" s="17" t="s">
        <v>265</v>
      </c>
      <c r="C66" s="17" t="s">
        <v>266</v>
      </c>
      <c r="D66" s="17"/>
      <c r="E66" s="18" t="s">
        <v>55</v>
      </c>
      <c r="F66" s="19" t="n">
        <v>1</v>
      </c>
      <c r="G66" s="20" t="n">
        <v>300</v>
      </c>
      <c r="H66" s="18" t="s">
        <v>50</v>
      </c>
      <c r="I66" s="21"/>
      <c r="J66" s="20" t="str">
        <f aca="false">IF(OR($I66="",$H66="LOCAL"),"",ROUND($F66*$I66,0))</f>
        <v/>
      </c>
      <c r="K66" s="22"/>
    </row>
    <row r="67" customFormat="false" ht="15" hidden="false" customHeight="false" outlineLevel="0" collapsed="false">
      <c r="A67" s="17" t="s">
        <v>267</v>
      </c>
      <c r="B67" s="17" t="s">
        <v>268</v>
      </c>
      <c r="C67" s="17" t="s">
        <v>269</v>
      </c>
      <c r="D67" s="17"/>
      <c r="E67" s="18" t="s">
        <v>55</v>
      </c>
      <c r="F67" s="19" t="n">
        <v>1</v>
      </c>
      <c r="G67" s="20" t="n">
        <v>60</v>
      </c>
      <c r="H67" s="18" t="s">
        <v>50</v>
      </c>
      <c r="I67" s="21"/>
      <c r="J67" s="20" t="str">
        <f aca="false">IF(OR($I67="",$H67="LOCAL"),"",ROUND($F67*$I67,0))</f>
        <v/>
      </c>
      <c r="K67" s="22"/>
    </row>
    <row r="68" customFormat="false" ht="15" hidden="false" customHeight="false" outlineLevel="0" collapsed="false">
      <c r="A68" s="17" t="s">
        <v>270</v>
      </c>
      <c r="B68" s="17" t="s">
        <v>271</v>
      </c>
      <c r="C68" s="17" t="s">
        <v>272</v>
      </c>
      <c r="D68" s="17"/>
      <c r="E68" s="18" t="s">
        <v>55</v>
      </c>
      <c r="F68" s="19" t="n">
        <v>1</v>
      </c>
      <c r="G68" s="20" t="n">
        <v>10</v>
      </c>
      <c r="H68" s="18" t="s">
        <v>50</v>
      </c>
      <c r="I68" s="21"/>
      <c r="J68" s="20" t="str">
        <f aca="false">IF(OR($I68="",$H68="LOCAL"),"",ROUND($F68*$I68,0))</f>
        <v/>
      </c>
      <c r="K68" s="22"/>
    </row>
    <row r="69" customFormat="false" ht="15" hidden="false" customHeight="false" outlineLevel="0" collapsed="false">
      <c r="A69" s="17" t="s">
        <v>273</v>
      </c>
      <c r="B69" s="17" t="s">
        <v>274</v>
      </c>
      <c r="C69" s="17" t="s">
        <v>275</v>
      </c>
      <c r="D69" s="17"/>
      <c r="E69" s="18" t="s">
        <v>55</v>
      </c>
      <c r="F69" s="19" t="n">
        <v>1</v>
      </c>
      <c r="G69" s="20" t="n">
        <v>10</v>
      </c>
      <c r="H69" s="18" t="s">
        <v>50</v>
      </c>
      <c r="I69" s="21"/>
      <c r="J69" s="20" t="str">
        <f aca="false">IF(OR($I69="",$H69="LOCAL"),"",ROUND($F69*$I69,0))</f>
        <v/>
      </c>
      <c r="K69" s="22"/>
    </row>
    <row r="70" customFormat="false" ht="15" hidden="false" customHeight="false" outlineLevel="0" collapsed="false">
      <c r="A70" s="17" t="s">
        <v>276</v>
      </c>
      <c r="B70" s="17" t="s">
        <v>277</v>
      </c>
      <c r="C70" s="17"/>
      <c r="D70" s="17"/>
      <c r="E70" s="18" t="s">
        <v>55</v>
      </c>
      <c r="F70" s="19" t="n">
        <v>1</v>
      </c>
      <c r="G70" s="20" t="n">
        <v>15</v>
      </c>
      <c r="H70" s="18" t="s">
        <v>50</v>
      </c>
      <c r="I70" s="21"/>
      <c r="J70" s="20" t="str">
        <f aca="false">IF(OR($I70="",$H70="LOCAL"),"",ROUND($F70*$I70,0))</f>
        <v/>
      </c>
      <c r="K70" s="22"/>
    </row>
    <row r="71" customFormat="false" ht="15" hidden="false" customHeight="false" outlineLevel="0" collapsed="false">
      <c r="A71" s="17" t="s">
        <v>278</v>
      </c>
      <c r="B71" s="17" t="s">
        <v>279</v>
      </c>
      <c r="C71" s="17" t="s">
        <v>280</v>
      </c>
      <c r="D71" s="17"/>
      <c r="E71" s="18" t="s">
        <v>55</v>
      </c>
      <c r="F71" s="19" t="n">
        <v>1</v>
      </c>
      <c r="G71" s="20" t="n">
        <v>25</v>
      </c>
      <c r="H71" s="18" t="s">
        <v>50</v>
      </c>
      <c r="I71" s="21"/>
      <c r="J71" s="20" t="str">
        <f aca="false">IF(OR($I71="",$H71="LOCAL"),"",ROUND($F71*$I71,0))</f>
        <v/>
      </c>
      <c r="K71" s="22"/>
    </row>
    <row r="72" customFormat="false" ht="15" hidden="false" customHeight="false" outlineLevel="0" collapsed="false">
      <c r="A72" s="17" t="s">
        <v>281</v>
      </c>
      <c r="B72" s="17" t="s">
        <v>282</v>
      </c>
      <c r="C72" s="17" t="s">
        <v>283</v>
      </c>
      <c r="D72" s="17" t="s">
        <v>284</v>
      </c>
      <c r="E72" s="18" t="s">
        <v>68</v>
      </c>
      <c r="F72" s="19" t="n">
        <v>1</v>
      </c>
      <c r="G72" s="20" t="n">
        <v>30</v>
      </c>
      <c r="H72" s="18" t="s">
        <v>50</v>
      </c>
      <c r="I72" s="21"/>
      <c r="J72" s="20" t="str">
        <f aca="false">IF(OR($I72="",$H72="LOCAL"),"",ROUND($F72*$I72,0))</f>
        <v/>
      </c>
      <c r="K72" s="22"/>
    </row>
    <row r="73" customFormat="false" ht="15" hidden="false" customHeight="false" outlineLevel="0" collapsed="false">
      <c r="A73" s="15" t="s">
        <v>285</v>
      </c>
      <c r="B73" s="15" t="s">
        <v>286</v>
      </c>
      <c r="C73" s="16"/>
      <c r="D73" s="16"/>
      <c r="E73" s="16"/>
      <c r="F73" s="16"/>
      <c r="G73" s="16"/>
      <c r="H73" s="16"/>
      <c r="I73" s="16"/>
      <c r="J73" s="16"/>
      <c r="K73" s="16"/>
    </row>
    <row r="74" customFormat="false" ht="22.35" hidden="false" customHeight="false" outlineLevel="0" collapsed="false">
      <c r="A74" s="17" t="s">
        <v>287</v>
      </c>
      <c r="B74" s="17" t="s">
        <v>288</v>
      </c>
      <c r="C74" s="17" t="s">
        <v>289</v>
      </c>
      <c r="D74" s="17" t="s">
        <v>290</v>
      </c>
      <c r="E74" s="18" t="s">
        <v>291</v>
      </c>
      <c r="F74" s="19" t="n">
        <v>266</v>
      </c>
      <c r="G74" s="20" t="n">
        <v>3325</v>
      </c>
      <c r="H74" s="18" t="s">
        <v>50</v>
      </c>
      <c r="I74" s="21"/>
      <c r="J74" s="20" t="str">
        <f aca="false">IF(OR($I74="",$H74="LOCAL"),"",ROUND($F74*$I74,0))</f>
        <v/>
      </c>
      <c r="K74" s="22"/>
    </row>
    <row r="75" customFormat="false" ht="15" hidden="false" customHeight="false" outlineLevel="0" collapsed="false">
      <c r="A75" s="17" t="s">
        <v>292</v>
      </c>
      <c r="B75" s="17" t="s">
        <v>293</v>
      </c>
      <c r="C75" s="17" t="s">
        <v>294</v>
      </c>
      <c r="D75" s="17" t="s">
        <v>295</v>
      </c>
      <c r="E75" s="18" t="s">
        <v>291</v>
      </c>
      <c r="F75" s="19" t="n">
        <v>341</v>
      </c>
      <c r="G75" s="20" t="n">
        <v>4265</v>
      </c>
      <c r="H75" s="18" t="s">
        <v>50</v>
      </c>
      <c r="I75" s="21"/>
      <c r="J75" s="20" t="str">
        <f aca="false">IF(OR($I75="",$H75="LOCAL"),"",ROUND($F75*$I75,0))</f>
        <v/>
      </c>
      <c r="K75" s="22"/>
    </row>
    <row r="76" customFormat="false" ht="15" hidden="false" customHeight="false" outlineLevel="0" collapsed="false">
      <c r="A76" s="17" t="s">
        <v>296</v>
      </c>
      <c r="B76" s="17" t="s">
        <v>297</v>
      </c>
      <c r="C76" s="17" t="s">
        <v>298</v>
      </c>
      <c r="D76" s="17"/>
      <c r="E76" s="18" t="s">
        <v>34</v>
      </c>
      <c r="F76" s="24" t="n">
        <v>14.7</v>
      </c>
      <c r="G76" s="20" t="n">
        <v>40</v>
      </c>
      <c r="H76" s="18" t="s">
        <v>50</v>
      </c>
      <c r="I76" s="21"/>
      <c r="J76" s="20" t="str">
        <f aca="false">IF(OR($I76="",$H76="LOCAL"),"",ROUND($F76*$I76,0))</f>
        <v/>
      </c>
      <c r="K76" s="22"/>
    </row>
    <row r="77" customFormat="false" ht="15" hidden="false" customHeight="false" outlineLevel="0" collapsed="false">
      <c r="A77" s="17" t="s">
        <v>299</v>
      </c>
      <c r="B77" s="17" t="s">
        <v>300</v>
      </c>
      <c r="C77" s="17" t="s">
        <v>301</v>
      </c>
      <c r="D77" s="17" t="s">
        <v>302</v>
      </c>
      <c r="E77" s="18" t="s">
        <v>34</v>
      </c>
      <c r="F77" s="19" t="n">
        <v>36</v>
      </c>
      <c r="G77" s="20" t="n">
        <v>90</v>
      </c>
      <c r="H77" s="18" t="s">
        <v>50</v>
      </c>
      <c r="I77" s="21"/>
      <c r="J77" s="20" t="str">
        <f aca="false">IF(OR($I77="",$H77="LOCAL"),"",ROUND($F77*$I77,0))</f>
        <v/>
      </c>
      <c r="K77" s="22"/>
    </row>
    <row r="78" customFormat="false" ht="15" hidden="false" customHeight="false" outlineLevel="0" collapsed="false">
      <c r="A78" s="17" t="s">
        <v>303</v>
      </c>
      <c r="B78" s="17" t="s">
        <v>304</v>
      </c>
      <c r="C78" s="17" t="s">
        <v>301</v>
      </c>
      <c r="D78" s="17"/>
      <c r="E78" s="18" t="s">
        <v>34</v>
      </c>
      <c r="F78" s="19" t="n">
        <v>28</v>
      </c>
      <c r="G78" s="20" t="n">
        <v>60</v>
      </c>
      <c r="H78" s="18" t="s">
        <v>50</v>
      </c>
      <c r="I78" s="21"/>
      <c r="J78" s="20" t="str">
        <f aca="false">IF(OR($I78="",$H78="LOCAL"),"",ROUND($F78*$I78,0))</f>
        <v/>
      </c>
      <c r="K78" s="22"/>
    </row>
    <row r="79" customFormat="false" ht="15" hidden="false" customHeight="false" outlineLevel="0" collapsed="false">
      <c r="A79" s="17" t="s">
        <v>305</v>
      </c>
      <c r="B79" s="17" t="s">
        <v>306</v>
      </c>
      <c r="C79" s="17" t="s">
        <v>307</v>
      </c>
      <c r="D79" s="17" t="s">
        <v>308</v>
      </c>
      <c r="E79" s="18" t="s">
        <v>34</v>
      </c>
      <c r="F79" s="19" t="n">
        <v>64</v>
      </c>
      <c r="G79" s="20" t="n">
        <v>200</v>
      </c>
      <c r="H79" s="18" t="s">
        <v>50</v>
      </c>
      <c r="I79" s="21"/>
      <c r="J79" s="20" t="str">
        <f aca="false">IF(OR($I79="",$H79="LOCAL"),"",ROUND($F79*$I79,0))</f>
        <v/>
      </c>
      <c r="K79" s="22"/>
    </row>
    <row r="80" customFormat="false" ht="15" hidden="false" customHeight="false" outlineLevel="0" collapsed="false">
      <c r="A80" s="17" t="s">
        <v>309</v>
      </c>
      <c r="B80" s="17" t="s">
        <v>310</v>
      </c>
      <c r="C80" s="17" t="s">
        <v>311</v>
      </c>
      <c r="D80" s="17" t="s">
        <v>312</v>
      </c>
      <c r="E80" s="18" t="s">
        <v>34</v>
      </c>
      <c r="F80" s="24" t="n">
        <v>29.3</v>
      </c>
      <c r="G80" s="20" t="n">
        <v>120</v>
      </c>
      <c r="H80" s="18" t="s">
        <v>50</v>
      </c>
      <c r="I80" s="21"/>
      <c r="J80" s="20" t="str">
        <f aca="false">IF(OR($I80="",$H80="LOCAL"),"",ROUND($F80*$I80,0))</f>
        <v/>
      </c>
      <c r="K80" s="22"/>
    </row>
    <row r="81" customFormat="false" ht="15" hidden="false" customHeight="false" outlineLevel="0" collapsed="false">
      <c r="A81" s="17" t="s">
        <v>313</v>
      </c>
      <c r="B81" s="17" t="s">
        <v>314</v>
      </c>
      <c r="C81" s="17" t="s">
        <v>315</v>
      </c>
      <c r="D81" s="17" t="s">
        <v>316</v>
      </c>
      <c r="E81" s="18" t="s">
        <v>34</v>
      </c>
      <c r="F81" s="19" t="n">
        <v>28</v>
      </c>
      <c r="G81" s="20" t="n">
        <v>60</v>
      </c>
      <c r="H81" s="18" t="s">
        <v>50</v>
      </c>
      <c r="I81" s="21"/>
      <c r="J81" s="20" t="str">
        <f aca="false">IF(OR($I81="",$H81="LOCAL"),"",ROUND($F81*$I81,0))</f>
        <v/>
      </c>
      <c r="K81" s="22"/>
    </row>
    <row r="82" customFormat="false" ht="15" hidden="false" customHeight="false" outlineLevel="0" collapsed="false">
      <c r="A82" s="17" t="s">
        <v>317</v>
      </c>
      <c r="B82" s="17" t="s">
        <v>318</v>
      </c>
      <c r="C82" s="17" t="s">
        <v>301</v>
      </c>
      <c r="D82" s="17"/>
      <c r="E82" s="18" t="s">
        <v>55</v>
      </c>
      <c r="F82" s="19" t="n">
        <v>2</v>
      </c>
      <c r="G82" s="20" t="n">
        <v>40</v>
      </c>
      <c r="H82" s="18" t="s">
        <v>50</v>
      </c>
      <c r="I82" s="21"/>
      <c r="J82" s="20" t="str">
        <f aca="false">IF(OR($I82="",$H82="LOCAL"),"",ROUND($F82*$I82,0))</f>
        <v/>
      </c>
      <c r="K82" s="22"/>
    </row>
    <row r="83" customFormat="false" ht="15" hidden="false" customHeight="false" outlineLevel="0" collapsed="false">
      <c r="A83" s="17" t="s">
        <v>319</v>
      </c>
      <c r="B83" s="17" t="s">
        <v>320</v>
      </c>
      <c r="C83" s="17" t="s">
        <v>321</v>
      </c>
      <c r="D83" s="17"/>
      <c r="E83" s="18" t="s">
        <v>68</v>
      </c>
      <c r="F83" s="19" t="n">
        <v>1</v>
      </c>
      <c r="G83" s="20" t="n">
        <v>120</v>
      </c>
      <c r="H83" s="18" t="s">
        <v>50</v>
      </c>
      <c r="I83" s="21"/>
      <c r="J83" s="20" t="str">
        <f aca="false">IF(OR($I83="",$H83="LOCAL"),"",ROUND($F83*$I83,0))</f>
        <v/>
      </c>
      <c r="K83" s="22"/>
    </row>
    <row r="84" customFormat="false" ht="15" hidden="false" customHeight="false" outlineLevel="0" collapsed="false">
      <c r="A84" s="17" t="s">
        <v>322</v>
      </c>
      <c r="B84" s="17" t="s">
        <v>323</v>
      </c>
      <c r="C84" s="17" t="s">
        <v>324</v>
      </c>
      <c r="D84" s="17"/>
      <c r="E84" s="18" t="s">
        <v>68</v>
      </c>
      <c r="F84" s="19" t="n">
        <v>1</v>
      </c>
      <c r="G84" s="20" t="n">
        <v>60</v>
      </c>
      <c r="H84" s="18" t="s">
        <v>50</v>
      </c>
      <c r="I84" s="21"/>
      <c r="J84" s="20" t="str">
        <f aca="false">IF(OR($I84="",$H84="LOCAL"),"",ROUND($F84*$I84,0))</f>
        <v/>
      </c>
      <c r="K84" s="22"/>
    </row>
    <row r="85" customFormat="false" ht="15" hidden="false" customHeight="false" outlineLevel="0" collapsed="false">
      <c r="A85" s="17" t="s">
        <v>325</v>
      </c>
      <c r="B85" s="17" t="s">
        <v>326</v>
      </c>
      <c r="C85" s="17" t="s">
        <v>327</v>
      </c>
      <c r="D85" s="17" t="s">
        <v>328</v>
      </c>
      <c r="E85" s="18" t="s">
        <v>55</v>
      </c>
      <c r="F85" s="19" t="n">
        <v>2</v>
      </c>
      <c r="G85" s="20" t="n">
        <v>30</v>
      </c>
      <c r="H85" s="18" t="s">
        <v>50</v>
      </c>
      <c r="I85" s="21"/>
      <c r="J85" s="20" t="str">
        <f aca="false">IF(OR($I85="",$H85="LOCAL"),"",ROUND($F85*$I85,0))</f>
        <v/>
      </c>
      <c r="K85" s="22"/>
    </row>
    <row r="86" customFormat="false" ht="15" hidden="false" customHeight="false" outlineLevel="0" collapsed="false">
      <c r="A86" s="17" t="s">
        <v>329</v>
      </c>
      <c r="B86" s="17" t="s">
        <v>330</v>
      </c>
      <c r="C86" s="17" t="s">
        <v>331</v>
      </c>
      <c r="D86" s="17"/>
      <c r="E86" s="18" t="s">
        <v>49</v>
      </c>
      <c r="F86" s="19" t="n">
        <v>2</v>
      </c>
      <c r="G86" s="20" t="n">
        <v>50</v>
      </c>
      <c r="H86" s="18" t="s">
        <v>50</v>
      </c>
      <c r="I86" s="21"/>
      <c r="J86" s="20" t="str">
        <f aca="false">IF(OR($I86="",$H86="LOCAL"),"",ROUND($F86*$I86,0))</f>
        <v/>
      </c>
      <c r="K86" s="22"/>
    </row>
    <row r="87" customFormat="false" ht="15" hidden="false" customHeight="false" outlineLevel="0" collapsed="false">
      <c r="A87" s="15" t="s">
        <v>332</v>
      </c>
      <c r="B87" s="15" t="s">
        <v>333</v>
      </c>
      <c r="C87" s="16"/>
      <c r="D87" s="16"/>
      <c r="E87" s="16"/>
      <c r="F87" s="16"/>
      <c r="G87" s="16"/>
      <c r="H87" s="16"/>
      <c r="I87" s="16"/>
      <c r="J87" s="16"/>
      <c r="K87" s="16"/>
    </row>
    <row r="88" customFormat="false" ht="22.35" hidden="false" customHeight="false" outlineLevel="0" collapsed="false">
      <c r="A88" s="17" t="s">
        <v>334</v>
      </c>
      <c r="B88" s="17" t="s">
        <v>335</v>
      </c>
      <c r="C88" s="17" t="s">
        <v>336</v>
      </c>
      <c r="D88" s="17" t="s">
        <v>337</v>
      </c>
      <c r="E88" s="18" t="s">
        <v>49</v>
      </c>
      <c r="F88" s="19" t="n">
        <v>1</v>
      </c>
      <c r="G88" s="20" t="n">
        <v>900</v>
      </c>
      <c r="H88" s="18" t="s">
        <v>50</v>
      </c>
      <c r="I88" s="21"/>
      <c r="J88" s="20" t="str">
        <f aca="false">IF(OR($I88="",$H88="LOCAL"),"",ROUND($F88*$I88,0))</f>
        <v/>
      </c>
      <c r="K88" s="22"/>
    </row>
    <row r="89" customFormat="false" ht="15" hidden="false" customHeight="false" outlineLevel="0" collapsed="false">
      <c r="A89" s="17" t="s">
        <v>338</v>
      </c>
      <c r="B89" s="17" t="s">
        <v>339</v>
      </c>
      <c r="C89" s="17" t="s">
        <v>340</v>
      </c>
      <c r="D89" s="17"/>
      <c r="E89" s="18" t="s">
        <v>55</v>
      </c>
      <c r="F89" s="19" t="n">
        <v>1</v>
      </c>
      <c r="G89" s="20" t="n">
        <v>15</v>
      </c>
      <c r="H89" s="18" t="s">
        <v>50</v>
      </c>
      <c r="I89" s="21"/>
      <c r="J89" s="20" t="str">
        <f aca="false">IF(OR($I89="",$H89="LOCAL"),"",ROUND($F89*$I89,0))</f>
        <v/>
      </c>
      <c r="K89" s="22"/>
    </row>
    <row r="90" customFormat="false" ht="22.35" hidden="false" customHeight="false" outlineLevel="0" collapsed="false">
      <c r="A90" s="17" t="s">
        <v>341</v>
      </c>
      <c r="B90" s="17" t="s">
        <v>342</v>
      </c>
      <c r="C90" s="17" t="s">
        <v>343</v>
      </c>
      <c r="D90" s="17"/>
      <c r="E90" s="18" t="s">
        <v>49</v>
      </c>
      <c r="F90" s="19" t="n">
        <v>2</v>
      </c>
      <c r="G90" s="20" t="n">
        <v>160</v>
      </c>
      <c r="H90" s="18" t="s">
        <v>50</v>
      </c>
      <c r="I90" s="21"/>
      <c r="J90" s="20" t="str">
        <f aca="false">IF(OR($I90="",$H90="LOCAL"),"",ROUND($F90*$I90,0))</f>
        <v/>
      </c>
      <c r="K90" s="22"/>
    </row>
    <row r="91" customFormat="false" ht="15" hidden="false" customHeight="false" outlineLevel="0" collapsed="false">
      <c r="A91" s="17" t="s">
        <v>344</v>
      </c>
      <c r="B91" s="17" t="s">
        <v>345</v>
      </c>
      <c r="C91" s="17"/>
      <c r="D91" s="17"/>
      <c r="E91" s="18" t="s">
        <v>55</v>
      </c>
      <c r="F91" s="19" t="n">
        <v>2</v>
      </c>
      <c r="G91" s="20" t="n">
        <v>10</v>
      </c>
      <c r="H91" s="18" t="s">
        <v>50</v>
      </c>
      <c r="I91" s="21"/>
      <c r="J91" s="20" t="str">
        <f aca="false">IF(OR($I91="",$H91="LOCAL"),"",ROUND($F91*$I91,0))</f>
        <v/>
      </c>
      <c r="K91" s="22"/>
    </row>
    <row r="92" customFormat="false" ht="15" hidden="false" customHeight="false" outlineLevel="0" collapsed="false">
      <c r="A92" s="17" t="s">
        <v>346</v>
      </c>
      <c r="B92" s="17" t="s">
        <v>347</v>
      </c>
      <c r="C92" s="17" t="s">
        <v>348</v>
      </c>
      <c r="D92" s="17" t="s">
        <v>349</v>
      </c>
      <c r="E92" s="18" t="s">
        <v>49</v>
      </c>
      <c r="F92" s="19" t="n">
        <v>2</v>
      </c>
      <c r="G92" s="20" t="n">
        <v>4</v>
      </c>
      <c r="H92" s="18" t="s">
        <v>50</v>
      </c>
      <c r="I92" s="21"/>
      <c r="J92" s="20" t="str">
        <f aca="false">IF(OR($I92="",$H92="LOCAL"),"",ROUND($F92*$I92,0))</f>
        <v/>
      </c>
      <c r="K92" s="22"/>
    </row>
    <row r="93" customFormat="false" ht="15" hidden="false" customHeight="false" outlineLevel="0" collapsed="false">
      <c r="A93" s="17" t="s">
        <v>350</v>
      </c>
      <c r="B93" s="17" t="s">
        <v>351</v>
      </c>
      <c r="C93" s="17" t="s">
        <v>352</v>
      </c>
      <c r="D93" s="17"/>
      <c r="E93" s="18" t="s">
        <v>55</v>
      </c>
      <c r="F93" s="19" t="n">
        <v>1</v>
      </c>
      <c r="G93" s="20" t="n">
        <v>90</v>
      </c>
      <c r="H93" s="18" t="s">
        <v>50</v>
      </c>
      <c r="I93" s="21"/>
      <c r="J93" s="20" t="str">
        <f aca="false">IF(OR($I93="",$H93="LOCAL"),"",ROUND($F93*$I93,0))</f>
        <v/>
      </c>
      <c r="K93" s="22"/>
    </row>
    <row r="94" customFormat="false" ht="15" hidden="false" customHeight="false" outlineLevel="0" collapsed="false">
      <c r="A94" s="17" t="s">
        <v>353</v>
      </c>
      <c r="B94" s="17" t="s">
        <v>354</v>
      </c>
      <c r="C94" s="17" t="s">
        <v>355</v>
      </c>
      <c r="D94" s="17"/>
      <c r="E94" s="18" t="s">
        <v>55</v>
      </c>
      <c r="F94" s="19" t="n">
        <v>1</v>
      </c>
      <c r="G94" s="20" t="n">
        <v>30</v>
      </c>
      <c r="H94" s="18" t="s">
        <v>50</v>
      </c>
      <c r="I94" s="21"/>
      <c r="J94" s="20" t="str">
        <f aca="false">IF(OR($I94="",$H94="LOCAL"),"",ROUND($F94*$I94,0))</f>
        <v/>
      </c>
      <c r="K94" s="22"/>
    </row>
    <row r="95" customFormat="false" ht="15" hidden="false" customHeight="false" outlineLevel="0" collapsed="false">
      <c r="A95" s="17" t="s">
        <v>356</v>
      </c>
      <c r="B95" s="17" t="s">
        <v>357</v>
      </c>
      <c r="C95" s="17"/>
      <c r="D95" s="17"/>
      <c r="E95" s="18" t="s">
        <v>68</v>
      </c>
      <c r="F95" s="19" t="n">
        <v>1</v>
      </c>
      <c r="G95" s="20" t="n">
        <v>10</v>
      </c>
      <c r="H95" s="18" t="s">
        <v>50</v>
      </c>
      <c r="I95" s="21"/>
      <c r="J95" s="20" t="str">
        <f aca="false">IF(OR($I95="",$H95="LOCAL"),"",ROUND($F95*$I95,0))</f>
        <v/>
      </c>
      <c r="K95" s="22"/>
    </row>
    <row r="96" customFormat="false" ht="15" hidden="false" customHeight="false" outlineLevel="0" collapsed="false">
      <c r="A96" s="15" t="s">
        <v>358</v>
      </c>
      <c r="B96" s="15" t="s">
        <v>359</v>
      </c>
      <c r="C96" s="16"/>
      <c r="D96" s="16"/>
      <c r="E96" s="16"/>
      <c r="F96" s="16"/>
      <c r="G96" s="16"/>
      <c r="H96" s="16"/>
      <c r="I96" s="16"/>
      <c r="J96" s="16"/>
      <c r="K96" s="16"/>
    </row>
    <row r="97" customFormat="false" ht="22.35" hidden="false" customHeight="false" outlineLevel="0" collapsed="false">
      <c r="A97" s="17" t="s">
        <v>360</v>
      </c>
      <c r="B97" s="17" t="s">
        <v>361</v>
      </c>
      <c r="C97" s="17" t="s">
        <v>362</v>
      </c>
      <c r="D97" s="17" t="s">
        <v>363</v>
      </c>
      <c r="E97" s="18" t="s">
        <v>49</v>
      </c>
      <c r="F97" s="19" t="n">
        <v>33</v>
      </c>
      <c r="G97" s="20" t="n">
        <v>715</v>
      </c>
      <c r="H97" s="18" t="s">
        <v>50</v>
      </c>
      <c r="I97" s="21"/>
      <c r="J97" s="20" t="str">
        <f aca="false">IF(OR($I97="",$H97="LOCAL"),"",ROUND($F97*$I97,0))</f>
        <v/>
      </c>
      <c r="K97" s="22"/>
    </row>
    <row r="98" customFormat="false" ht="15" hidden="false" customHeight="false" outlineLevel="0" collapsed="false">
      <c r="A98" s="17" t="s">
        <v>364</v>
      </c>
      <c r="B98" s="17" t="s">
        <v>365</v>
      </c>
      <c r="C98" s="17" t="s">
        <v>366</v>
      </c>
      <c r="D98" s="17" t="s">
        <v>367</v>
      </c>
      <c r="E98" s="18" t="s">
        <v>291</v>
      </c>
      <c r="F98" s="24" t="n">
        <v>55.5</v>
      </c>
      <c r="G98" s="20" t="n">
        <v>1560</v>
      </c>
      <c r="H98" s="18" t="s">
        <v>50</v>
      </c>
      <c r="I98" s="21"/>
      <c r="J98" s="20" t="str">
        <f aca="false">IF(OR($I98="",$H98="LOCAL"),"",ROUND($F98*$I98,0))</f>
        <v/>
      </c>
      <c r="K98" s="22"/>
    </row>
    <row r="99" customFormat="false" ht="15" hidden="false" customHeight="false" outlineLevel="0" collapsed="false">
      <c r="A99" s="17" t="s">
        <v>368</v>
      </c>
      <c r="B99" s="17" t="s">
        <v>369</v>
      </c>
      <c r="C99" s="17" t="s">
        <v>370</v>
      </c>
      <c r="D99" s="17" t="s">
        <v>371</v>
      </c>
      <c r="E99" s="18" t="s">
        <v>291</v>
      </c>
      <c r="F99" s="24" t="n">
        <v>33.7</v>
      </c>
      <c r="G99" s="20" t="n">
        <v>945</v>
      </c>
      <c r="H99" s="18" t="s">
        <v>50</v>
      </c>
      <c r="I99" s="21"/>
      <c r="J99" s="20" t="str">
        <f aca="false">IF(OR($I99="",$H99="LOCAL"),"",ROUND($F99*$I99,0))</f>
        <v/>
      </c>
      <c r="K99" s="22"/>
    </row>
    <row r="100" customFormat="false" ht="15" hidden="false" customHeight="false" outlineLevel="0" collapsed="false">
      <c r="A100" s="17" t="s">
        <v>372</v>
      </c>
      <c r="B100" s="17" t="s">
        <v>373</v>
      </c>
      <c r="C100" s="17" t="s">
        <v>374</v>
      </c>
      <c r="D100" s="17"/>
      <c r="E100" s="18" t="s">
        <v>68</v>
      </c>
      <c r="F100" s="19" t="n">
        <v>1</v>
      </c>
      <c r="G100" s="20" t="n">
        <v>40</v>
      </c>
      <c r="H100" s="18" t="s">
        <v>50</v>
      </c>
      <c r="I100" s="21"/>
      <c r="J100" s="20" t="str">
        <f aca="false">IF(OR($I100="",$H100="LOCAL"),"",ROUND($F100*$I100,0))</f>
        <v/>
      </c>
      <c r="K100" s="22"/>
    </row>
    <row r="101" customFormat="false" ht="15" hidden="false" customHeight="false" outlineLevel="0" collapsed="false">
      <c r="A101" s="17" t="s">
        <v>375</v>
      </c>
      <c r="B101" s="17" t="s">
        <v>376</v>
      </c>
      <c r="C101" s="17" t="s">
        <v>377</v>
      </c>
      <c r="D101" s="17"/>
      <c r="E101" s="18" t="s">
        <v>49</v>
      </c>
      <c r="F101" s="19" t="n">
        <v>12</v>
      </c>
      <c r="G101" s="20" t="n">
        <v>36</v>
      </c>
      <c r="H101" s="18" t="s">
        <v>50</v>
      </c>
      <c r="I101" s="21"/>
      <c r="J101" s="20" t="str">
        <f aca="false">IF(OR($I101="",$H101="LOCAL"),"",ROUND($F101*$I101,0))</f>
        <v/>
      </c>
      <c r="K101" s="22"/>
    </row>
    <row r="102" customFormat="false" ht="15" hidden="false" customHeight="false" outlineLevel="0" collapsed="false">
      <c r="A102" s="17" t="s">
        <v>378</v>
      </c>
      <c r="B102" s="17" t="s">
        <v>379</v>
      </c>
      <c r="C102" s="17" t="s">
        <v>380</v>
      </c>
      <c r="D102" s="17" t="s">
        <v>381</v>
      </c>
      <c r="E102" s="18" t="s">
        <v>49</v>
      </c>
      <c r="F102" s="19" t="n">
        <v>6</v>
      </c>
      <c r="G102" s="20" t="n">
        <v>150</v>
      </c>
      <c r="H102" s="18" t="s">
        <v>50</v>
      </c>
      <c r="I102" s="21"/>
      <c r="J102" s="20" t="str">
        <f aca="false">IF(OR($I102="",$H102="LOCAL"),"",ROUND($F102*$I102,0))</f>
        <v/>
      </c>
      <c r="K102" s="22"/>
    </row>
    <row r="103" customFormat="false" ht="15" hidden="false" customHeight="false" outlineLevel="0" collapsed="false">
      <c r="A103" s="17" t="s">
        <v>382</v>
      </c>
      <c r="B103" s="17" t="s">
        <v>383</v>
      </c>
      <c r="C103" s="17" t="s">
        <v>384</v>
      </c>
      <c r="D103" s="17" t="s">
        <v>385</v>
      </c>
      <c r="E103" s="18" t="s">
        <v>386</v>
      </c>
      <c r="F103" s="19" t="n">
        <v>10</v>
      </c>
      <c r="G103" s="20" t="n">
        <v>180</v>
      </c>
      <c r="H103" s="18" t="s">
        <v>50</v>
      </c>
      <c r="I103" s="21"/>
      <c r="J103" s="20" t="str">
        <f aca="false">IF(OR($I103="",$H103="LOCAL"),"",ROUND($F103*$I103,0))</f>
        <v/>
      </c>
      <c r="K103" s="22"/>
    </row>
    <row r="104" customFormat="false" ht="15" hidden="false" customHeight="false" outlineLevel="0" collapsed="false">
      <c r="A104" s="17" t="s">
        <v>387</v>
      </c>
      <c r="B104" s="17" t="s">
        <v>388</v>
      </c>
      <c r="C104" s="17" t="s">
        <v>389</v>
      </c>
      <c r="D104" s="17"/>
      <c r="E104" s="18" t="s">
        <v>49</v>
      </c>
      <c r="F104" s="19" t="n">
        <v>20</v>
      </c>
      <c r="G104" s="20" t="n">
        <v>160</v>
      </c>
      <c r="H104" s="18" t="s">
        <v>50</v>
      </c>
      <c r="I104" s="21"/>
      <c r="J104" s="20" t="str">
        <f aca="false">IF(OR($I104="",$H104="LOCAL"),"",ROUND($F104*$I104,0))</f>
        <v/>
      </c>
      <c r="K104" s="22"/>
    </row>
    <row r="105" customFormat="false" ht="15" hidden="false" customHeight="false" outlineLevel="0" collapsed="false">
      <c r="A105" s="17" t="s">
        <v>390</v>
      </c>
      <c r="B105" s="17" t="s">
        <v>391</v>
      </c>
      <c r="C105" s="17" t="s">
        <v>392</v>
      </c>
      <c r="D105" s="17"/>
      <c r="E105" s="18" t="s">
        <v>68</v>
      </c>
      <c r="F105" s="19" t="n">
        <v>1</v>
      </c>
      <c r="G105" s="20" t="n">
        <v>20</v>
      </c>
      <c r="H105" s="18" t="s">
        <v>50</v>
      </c>
      <c r="I105" s="21"/>
      <c r="J105" s="20" t="str">
        <f aca="false">IF(OR($I105="",$H105="LOCAL"),"",ROUND($F105*$I105,0))</f>
        <v/>
      </c>
      <c r="K105" s="22"/>
    </row>
    <row r="106" customFormat="false" ht="15" hidden="false" customHeight="false" outlineLevel="0" collapsed="false">
      <c r="A106" s="17" t="s">
        <v>393</v>
      </c>
      <c r="B106" s="17" t="s">
        <v>394</v>
      </c>
      <c r="C106" s="17" t="s">
        <v>395</v>
      </c>
      <c r="D106" s="17" t="s">
        <v>396</v>
      </c>
      <c r="E106" s="18" t="s">
        <v>68</v>
      </c>
      <c r="F106" s="19" t="n">
        <v>1</v>
      </c>
      <c r="G106" s="20" t="n">
        <v>15</v>
      </c>
      <c r="H106" s="18" t="s">
        <v>50</v>
      </c>
      <c r="I106" s="21"/>
      <c r="J106" s="20" t="str">
        <f aca="false">IF(OR($I106="",$H106="LOCAL"),"",ROUND($F106*$I106,0))</f>
        <v/>
      </c>
      <c r="K106" s="22"/>
    </row>
    <row r="107" customFormat="false" ht="15" hidden="false" customHeight="false" outlineLevel="0" collapsed="false">
      <c r="A107" s="15" t="s">
        <v>397</v>
      </c>
      <c r="B107" s="15" t="s">
        <v>398</v>
      </c>
      <c r="C107" s="16"/>
      <c r="D107" s="16"/>
      <c r="E107" s="16"/>
      <c r="F107" s="16"/>
      <c r="G107" s="16"/>
      <c r="H107" s="16"/>
      <c r="I107" s="16"/>
      <c r="J107" s="16"/>
      <c r="K107" s="16"/>
    </row>
    <row r="108" customFormat="false" ht="15" hidden="false" customHeight="false" outlineLevel="0" collapsed="false">
      <c r="A108" s="17" t="s">
        <v>399</v>
      </c>
      <c r="B108" s="17" t="s">
        <v>400</v>
      </c>
      <c r="C108" s="17" t="s">
        <v>401</v>
      </c>
      <c r="D108" s="17" t="s">
        <v>402</v>
      </c>
      <c r="E108" s="18" t="s">
        <v>49</v>
      </c>
      <c r="F108" s="19" t="n">
        <v>1</v>
      </c>
      <c r="G108" s="20" t="n">
        <v>260</v>
      </c>
      <c r="H108" s="18" t="s">
        <v>50</v>
      </c>
      <c r="I108" s="21"/>
      <c r="J108" s="20" t="str">
        <f aca="false">IF(OR($I108="",$H108="LOCAL"),"",ROUND($F108*$I108,0))</f>
        <v/>
      </c>
      <c r="K108" s="22"/>
    </row>
    <row r="109" customFormat="false" ht="15" hidden="false" customHeight="false" outlineLevel="0" collapsed="false">
      <c r="A109" s="17" t="s">
        <v>403</v>
      </c>
      <c r="B109" s="17" t="s">
        <v>404</v>
      </c>
      <c r="C109" s="17" t="s">
        <v>405</v>
      </c>
      <c r="D109" s="17"/>
      <c r="E109" s="18" t="s">
        <v>49</v>
      </c>
      <c r="F109" s="19" t="n">
        <v>1</v>
      </c>
      <c r="G109" s="20" t="n">
        <v>60</v>
      </c>
      <c r="H109" s="18" t="s">
        <v>50</v>
      </c>
      <c r="I109" s="21"/>
      <c r="J109" s="20" t="str">
        <f aca="false">IF(OR($I109="",$H109="LOCAL"),"",ROUND($F109*$I109,0))</f>
        <v/>
      </c>
      <c r="K109" s="22"/>
    </row>
    <row r="110" customFormat="false" ht="15" hidden="false" customHeight="false" outlineLevel="0" collapsed="false">
      <c r="A110" s="17" t="s">
        <v>406</v>
      </c>
      <c r="B110" s="17" t="s">
        <v>407</v>
      </c>
      <c r="C110" s="17" t="s">
        <v>408</v>
      </c>
      <c r="D110" s="17"/>
      <c r="E110" s="18" t="s">
        <v>68</v>
      </c>
      <c r="F110" s="19" t="n">
        <v>1</v>
      </c>
      <c r="G110" s="20" t="n">
        <v>90</v>
      </c>
      <c r="H110" s="18" t="s">
        <v>50</v>
      </c>
      <c r="I110" s="21"/>
      <c r="J110" s="20" t="str">
        <f aca="false">IF(OR($I110="",$H110="LOCAL"),"",ROUND($F110*$I110,0))</f>
        <v/>
      </c>
      <c r="K110" s="22"/>
    </row>
    <row r="111" customFormat="false" ht="15" hidden="false" customHeight="false" outlineLevel="0" collapsed="false">
      <c r="A111" s="17" t="s">
        <v>409</v>
      </c>
      <c r="B111" s="17" t="s">
        <v>410</v>
      </c>
      <c r="C111" s="17" t="s">
        <v>411</v>
      </c>
      <c r="D111" s="17" t="s">
        <v>412</v>
      </c>
      <c r="E111" s="18" t="s">
        <v>34</v>
      </c>
      <c r="F111" s="19" t="n">
        <v>40</v>
      </c>
      <c r="G111" s="20" t="n">
        <v>320</v>
      </c>
      <c r="H111" s="18" t="s">
        <v>50</v>
      </c>
      <c r="I111" s="21"/>
      <c r="J111" s="20" t="str">
        <f aca="false">IF(OR($I111="",$H111="LOCAL"),"",ROUND($F111*$I111,0))</f>
        <v/>
      </c>
      <c r="K111" s="22"/>
    </row>
    <row r="112" customFormat="false" ht="15" hidden="false" customHeight="false" outlineLevel="0" collapsed="false">
      <c r="A112" s="17" t="s">
        <v>413</v>
      </c>
      <c r="B112" s="17" t="s">
        <v>414</v>
      </c>
      <c r="C112" s="17" t="s">
        <v>415</v>
      </c>
      <c r="D112" s="17"/>
      <c r="E112" s="18" t="s">
        <v>49</v>
      </c>
      <c r="F112" s="19" t="n">
        <v>1</v>
      </c>
      <c r="G112" s="20" t="n">
        <v>25</v>
      </c>
      <c r="H112" s="18" t="s">
        <v>50</v>
      </c>
      <c r="I112" s="21"/>
      <c r="J112" s="20" t="str">
        <f aca="false">IF(OR($I112="",$H112="LOCAL"),"",ROUND($F112*$I112,0))</f>
        <v/>
      </c>
      <c r="K112" s="22"/>
    </row>
    <row r="113" customFormat="false" ht="15" hidden="false" customHeight="false" outlineLevel="0" collapsed="false">
      <c r="A113" s="17" t="s">
        <v>416</v>
      </c>
      <c r="B113" s="17" t="s">
        <v>417</v>
      </c>
      <c r="C113" s="17" t="s">
        <v>418</v>
      </c>
      <c r="D113" s="17"/>
      <c r="E113" s="18" t="s">
        <v>49</v>
      </c>
      <c r="F113" s="19" t="n">
        <v>4</v>
      </c>
      <c r="G113" s="20" t="n">
        <v>20</v>
      </c>
      <c r="H113" s="18" t="s">
        <v>50</v>
      </c>
      <c r="I113" s="21"/>
      <c r="J113" s="20" t="str">
        <f aca="false">IF(OR($I113="",$H113="LOCAL"),"",ROUND($F113*$I113,0))</f>
        <v/>
      </c>
      <c r="K113" s="22"/>
    </row>
    <row r="114" customFormat="false" ht="15" hidden="false" customHeight="false" outlineLevel="0" collapsed="false">
      <c r="A114" s="17" t="s">
        <v>419</v>
      </c>
      <c r="B114" s="17" t="s">
        <v>420</v>
      </c>
      <c r="C114" s="17" t="s">
        <v>421</v>
      </c>
      <c r="D114" s="17"/>
      <c r="E114" s="18" t="s">
        <v>68</v>
      </c>
      <c r="F114" s="19" t="n">
        <v>1</v>
      </c>
      <c r="G114" s="20" t="n">
        <v>25</v>
      </c>
      <c r="H114" s="18" t="s">
        <v>50</v>
      </c>
      <c r="I114" s="21"/>
      <c r="J114" s="20" t="str">
        <f aca="false">IF(OR($I114="",$H114="LOCAL"),"",ROUND($F114*$I114,0))</f>
        <v/>
      </c>
      <c r="K114" s="22"/>
    </row>
    <row r="115" customFormat="false" ht="15" hidden="false" customHeight="false" outlineLevel="0" collapsed="false">
      <c r="A115" s="17" t="s">
        <v>422</v>
      </c>
      <c r="B115" s="17" t="s">
        <v>423</v>
      </c>
      <c r="C115" s="17"/>
      <c r="D115" s="17"/>
      <c r="E115" s="18" t="s">
        <v>68</v>
      </c>
      <c r="F115" s="19" t="n">
        <v>1</v>
      </c>
      <c r="G115" s="20" t="n">
        <v>5</v>
      </c>
      <c r="H115" s="18" t="s">
        <v>50</v>
      </c>
      <c r="I115" s="21"/>
      <c r="J115" s="20" t="str">
        <f aca="false">IF(OR($I115="",$H115="LOCAL"),"",ROUND($F115*$I115,0))</f>
        <v/>
      </c>
      <c r="K115" s="22"/>
    </row>
    <row r="116" customFormat="false" ht="15" hidden="false" customHeight="false" outlineLevel="0" collapsed="false">
      <c r="A116" s="15" t="s">
        <v>424</v>
      </c>
      <c r="B116" s="15" t="s">
        <v>425</v>
      </c>
      <c r="C116" s="16"/>
      <c r="D116" s="16"/>
      <c r="E116" s="16"/>
      <c r="F116" s="16"/>
      <c r="G116" s="16"/>
      <c r="H116" s="16"/>
      <c r="I116" s="16"/>
      <c r="J116" s="16"/>
      <c r="K116" s="16"/>
    </row>
    <row r="117" customFormat="false" ht="22.35" hidden="false" customHeight="false" outlineLevel="0" collapsed="false">
      <c r="A117" s="17" t="s">
        <v>426</v>
      </c>
      <c r="B117" s="17" t="s">
        <v>427</v>
      </c>
      <c r="C117" s="17" t="s">
        <v>428</v>
      </c>
      <c r="D117" s="17" t="s">
        <v>429</v>
      </c>
      <c r="E117" s="18" t="s">
        <v>49</v>
      </c>
      <c r="F117" s="19" t="n">
        <v>4</v>
      </c>
      <c r="G117" s="20" t="n">
        <v>3400</v>
      </c>
      <c r="H117" s="18" t="s">
        <v>50</v>
      </c>
      <c r="I117" s="21"/>
      <c r="J117" s="20" t="str">
        <f aca="false">IF(OR($I117="",$H117="LOCAL"),"",ROUND($F117*$I117,0))</f>
        <v/>
      </c>
      <c r="K117" s="22"/>
    </row>
    <row r="118" customFormat="false" ht="15" hidden="false" customHeight="false" outlineLevel="0" collapsed="false">
      <c r="A118" s="17" t="s">
        <v>430</v>
      </c>
      <c r="B118" s="17" t="s">
        <v>431</v>
      </c>
      <c r="C118" s="17" t="s">
        <v>432</v>
      </c>
      <c r="D118" s="17"/>
      <c r="E118" s="18" t="s">
        <v>55</v>
      </c>
      <c r="F118" s="19" t="n">
        <v>4</v>
      </c>
      <c r="G118" s="20" t="n">
        <v>720</v>
      </c>
      <c r="H118" s="18" t="s">
        <v>50</v>
      </c>
      <c r="I118" s="21"/>
      <c r="J118" s="20" t="str">
        <f aca="false">IF(OR($I118="",$H118="LOCAL"),"",ROUND($F118*$I118,0))</f>
        <v/>
      </c>
      <c r="K118" s="22"/>
    </row>
    <row r="119" customFormat="false" ht="15" hidden="false" customHeight="false" outlineLevel="0" collapsed="false">
      <c r="A119" s="17" t="s">
        <v>433</v>
      </c>
      <c r="B119" s="17" t="s">
        <v>434</v>
      </c>
      <c r="C119" s="17" t="s">
        <v>435</v>
      </c>
      <c r="D119" s="17"/>
      <c r="E119" s="18" t="s">
        <v>55</v>
      </c>
      <c r="F119" s="19" t="n">
        <v>4</v>
      </c>
      <c r="G119" s="20" t="n">
        <v>480</v>
      </c>
      <c r="H119" s="18" t="s">
        <v>50</v>
      </c>
      <c r="I119" s="21"/>
      <c r="J119" s="20" t="str">
        <f aca="false">IF(OR($I119="",$H119="LOCAL"),"",ROUND($F119*$I119,0))</f>
        <v/>
      </c>
      <c r="K119" s="22"/>
    </row>
    <row r="120" customFormat="false" ht="22.35" hidden="false" customHeight="false" outlineLevel="0" collapsed="false">
      <c r="A120" s="17" t="s">
        <v>436</v>
      </c>
      <c r="B120" s="17" t="s">
        <v>437</v>
      </c>
      <c r="C120" s="17" t="s">
        <v>438</v>
      </c>
      <c r="D120" s="17" t="s">
        <v>439</v>
      </c>
      <c r="E120" s="18" t="s">
        <v>49</v>
      </c>
      <c r="F120" s="19" t="n">
        <v>4</v>
      </c>
      <c r="G120" s="20" t="n">
        <v>160</v>
      </c>
      <c r="H120" s="18" t="s">
        <v>50</v>
      </c>
      <c r="I120" s="21"/>
      <c r="J120" s="20" t="str">
        <f aca="false">IF(OR($I120="",$H120="LOCAL"),"",ROUND($F120*$I120,0))</f>
        <v/>
      </c>
      <c r="K120" s="22"/>
    </row>
    <row r="121" customFormat="false" ht="15" hidden="false" customHeight="false" outlineLevel="0" collapsed="false">
      <c r="A121" s="17" t="s">
        <v>440</v>
      </c>
      <c r="B121" s="17" t="s">
        <v>441</v>
      </c>
      <c r="C121" s="17" t="s">
        <v>442</v>
      </c>
      <c r="D121" s="17"/>
      <c r="E121" s="18" t="s">
        <v>49</v>
      </c>
      <c r="F121" s="19" t="n">
        <v>4</v>
      </c>
      <c r="G121" s="20" t="n">
        <v>40</v>
      </c>
      <c r="H121" s="18" t="s">
        <v>50</v>
      </c>
      <c r="I121" s="21"/>
      <c r="J121" s="20" t="str">
        <f aca="false">IF(OR($I121="",$H121="LOCAL"),"",ROUND($F121*$I121,0))</f>
        <v/>
      </c>
      <c r="K121" s="22"/>
    </row>
    <row r="122" customFormat="false" ht="15" hidden="false" customHeight="false" outlineLevel="0" collapsed="false">
      <c r="A122" s="17" t="s">
        <v>443</v>
      </c>
      <c r="B122" s="17" t="s">
        <v>444</v>
      </c>
      <c r="C122" s="17" t="s">
        <v>445</v>
      </c>
      <c r="D122" s="17"/>
      <c r="E122" s="18" t="s">
        <v>55</v>
      </c>
      <c r="F122" s="19" t="n">
        <v>4</v>
      </c>
      <c r="G122" s="20" t="n">
        <v>12</v>
      </c>
      <c r="H122" s="18" t="s">
        <v>50</v>
      </c>
      <c r="I122" s="21"/>
      <c r="J122" s="20" t="str">
        <f aca="false">IF(OR($I122="",$H122="LOCAL"),"",ROUND($F122*$I122,0))</f>
        <v/>
      </c>
      <c r="K122" s="22"/>
    </row>
    <row r="123" customFormat="false" ht="15" hidden="false" customHeight="false" outlineLevel="0" collapsed="false">
      <c r="A123" s="17" t="s">
        <v>446</v>
      </c>
      <c r="B123" s="17" t="s">
        <v>447</v>
      </c>
      <c r="C123" s="17"/>
      <c r="D123" s="17"/>
      <c r="E123" s="18" t="s">
        <v>55</v>
      </c>
      <c r="F123" s="19" t="n">
        <v>4</v>
      </c>
      <c r="G123" s="20" t="n">
        <v>40</v>
      </c>
      <c r="H123" s="18" t="s">
        <v>50</v>
      </c>
      <c r="I123" s="21"/>
      <c r="J123" s="20" t="str">
        <f aca="false">IF(OR($I123="",$H123="LOCAL"),"",ROUND($F123*$I123,0))</f>
        <v/>
      </c>
      <c r="K123" s="22"/>
    </row>
    <row r="124" customFormat="false" ht="15" hidden="false" customHeight="false" outlineLevel="0" collapsed="false">
      <c r="A124" s="17" t="s">
        <v>448</v>
      </c>
      <c r="B124" s="17" t="s">
        <v>449</v>
      </c>
      <c r="C124" s="17" t="s">
        <v>450</v>
      </c>
      <c r="D124" s="17"/>
      <c r="E124" s="18" t="s">
        <v>49</v>
      </c>
      <c r="F124" s="19" t="n">
        <v>4</v>
      </c>
      <c r="G124" s="20" t="n">
        <v>32</v>
      </c>
      <c r="H124" s="18" t="s">
        <v>50</v>
      </c>
      <c r="I124" s="21"/>
      <c r="J124" s="20" t="str">
        <f aca="false">IF(OR($I124="",$H124="LOCAL"),"",ROUND($F124*$I124,0))</f>
        <v/>
      </c>
      <c r="K124" s="22"/>
    </row>
    <row r="125" customFormat="false" ht="15" hidden="false" customHeight="false" outlineLevel="0" collapsed="false">
      <c r="A125" s="17" t="s">
        <v>451</v>
      </c>
      <c r="B125" s="17" t="s">
        <v>452</v>
      </c>
      <c r="C125" s="17" t="s">
        <v>453</v>
      </c>
      <c r="D125" s="17"/>
      <c r="E125" s="18" t="s">
        <v>49</v>
      </c>
      <c r="F125" s="19" t="n">
        <v>8</v>
      </c>
      <c r="G125" s="20" t="n">
        <v>200</v>
      </c>
      <c r="H125" s="18" t="s">
        <v>50</v>
      </c>
      <c r="I125" s="21"/>
      <c r="J125" s="20" t="str">
        <f aca="false">IF(OR($I125="",$H125="LOCAL"),"",ROUND($F125*$I125,0))</f>
        <v/>
      </c>
      <c r="K125" s="22"/>
    </row>
    <row r="126" customFormat="false" ht="22.35" hidden="false" customHeight="false" outlineLevel="0" collapsed="false">
      <c r="A126" s="17" t="s">
        <v>454</v>
      </c>
      <c r="B126" s="17" t="s">
        <v>455</v>
      </c>
      <c r="C126" s="17" t="s">
        <v>456</v>
      </c>
      <c r="D126" s="17" t="s">
        <v>457</v>
      </c>
      <c r="E126" s="18" t="s">
        <v>68</v>
      </c>
      <c r="F126" s="19" t="n">
        <v>1</v>
      </c>
      <c r="G126" s="23"/>
      <c r="H126" s="18" t="s">
        <v>50</v>
      </c>
      <c r="I126" s="21"/>
      <c r="J126" s="20" t="str">
        <f aca="false">IF(OR($I126="",$H126="LOCAL"),"",ROUND($F126*$I126,0))</f>
        <v/>
      </c>
      <c r="K126" s="22"/>
    </row>
    <row r="127" customFormat="false" ht="15" hidden="false" customHeight="false" outlineLevel="0" collapsed="false">
      <c r="A127" s="15" t="s">
        <v>458</v>
      </c>
      <c r="B127" s="15" t="s">
        <v>459</v>
      </c>
      <c r="C127" s="16"/>
      <c r="D127" s="16"/>
      <c r="E127" s="16"/>
      <c r="F127" s="16"/>
      <c r="G127" s="16"/>
      <c r="H127" s="16"/>
      <c r="I127" s="16"/>
      <c r="J127" s="16"/>
      <c r="K127" s="16"/>
    </row>
    <row r="128" customFormat="false" ht="22.35" hidden="false" customHeight="false" outlineLevel="0" collapsed="false">
      <c r="A128" s="17" t="s">
        <v>460</v>
      </c>
      <c r="B128" s="17" t="s">
        <v>461</v>
      </c>
      <c r="C128" s="17" t="s">
        <v>462</v>
      </c>
      <c r="D128" s="17" t="s">
        <v>463</v>
      </c>
      <c r="E128" s="18" t="s">
        <v>49</v>
      </c>
      <c r="F128" s="19" t="n">
        <v>1</v>
      </c>
      <c r="G128" s="20" t="n">
        <v>650</v>
      </c>
      <c r="H128" s="18" t="s">
        <v>50</v>
      </c>
      <c r="I128" s="21"/>
      <c r="J128" s="20" t="str">
        <f aca="false">IF(OR($I128="",$H128="LOCAL"),"",ROUND($F128*$I128,0))</f>
        <v/>
      </c>
      <c r="K128" s="22"/>
    </row>
    <row r="129" customFormat="false" ht="15" hidden="false" customHeight="false" outlineLevel="0" collapsed="false">
      <c r="A129" s="17" t="s">
        <v>464</v>
      </c>
      <c r="B129" s="17" t="s">
        <v>465</v>
      </c>
      <c r="C129" s="17" t="s">
        <v>466</v>
      </c>
      <c r="D129" s="17"/>
      <c r="E129" s="18" t="s">
        <v>49</v>
      </c>
      <c r="F129" s="19" t="n">
        <v>1</v>
      </c>
      <c r="G129" s="20" t="n">
        <v>60</v>
      </c>
      <c r="H129" s="18" t="s">
        <v>50</v>
      </c>
      <c r="I129" s="21"/>
      <c r="J129" s="20" t="str">
        <f aca="false">IF(OR($I129="",$H129="LOCAL"),"",ROUND($F129*$I129,0))</f>
        <v/>
      </c>
      <c r="K129" s="22"/>
    </row>
    <row r="130" customFormat="false" ht="15" hidden="false" customHeight="false" outlineLevel="0" collapsed="false">
      <c r="A130" s="17" t="s">
        <v>467</v>
      </c>
      <c r="B130" s="17" t="s">
        <v>468</v>
      </c>
      <c r="C130" s="17" t="s">
        <v>469</v>
      </c>
      <c r="D130" s="17"/>
      <c r="E130" s="18" t="s">
        <v>68</v>
      </c>
      <c r="F130" s="19" t="n">
        <v>1</v>
      </c>
      <c r="G130" s="20" t="n">
        <v>8</v>
      </c>
      <c r="H130" s="18" t="s">
        <v>50</v>
      </c>
      <c r="I130" s="21"/>
      <c r="J130" s="20" t="str">
        <f aca="false">IF(OR($I130="",$H130="LOCAL"),"",ROUND($F130*$I130,0))</f>
        <v/>
      </c>
      <c r="K130" s="22"/>
    </row>
    <row r="131" customFormat="false" ht="15" hidden="false" customHeight="false" outlineLevel="0" collapsed="false">
      <c r="A131" s="17" t="s">
        <v>470</v>
      </c>
      <c r="B131" s="17" t="s">
        <v>471</v>
      </c>
      <c r="C131" s="17" t="s">
        <v>472</v>
      </c>
      <c r="D131" s="17"/>
      <c r="E131" s="18" t="s">
        <v>55</v>
      </c>
      <c r="F131" s="19" t="n">
        <v>1</v>
      </c>
      <c r="G131" s="20" t="n">
        <v>20</v>
      </c>
      <c r="H131" s="18" t="s">
        <v>50</v>
      </c>
      <c r="I131" s="21"/>
      <c r="J131" s="20" t="str">
        <f aca="false">IF(OR($I131="",$H131="LOCAL"),"",ROUND($F131*$I131,0))</f>
        <v/>
      </c>
      <c r="K131" s="22"/>
    </row>
    <row r="132" customFormat="false" ht="15" hidden="false" customHeight="false" outlineLevel="0" collapsed="false">
      <c r="A132" s="17" t="s">
        <v>473</v>
      </c>
      <c r="B132" s="17" t="s">
        <v>474</v>
      </c>
      <c r="C132" s="17"/>
      <c r="D132" s="17"/>
      <c r="E132" s="18" t="s">
        <v>49</v>
      </c>
      <c r="F132" s="19" t="n">
        <v>1</v>
      </c>
      <c r="G132" s="20" t="n">
        <v>35</v>
      </c>
      <c r="H132" s="18" t="s">
        <v>50</v>
      </c>
      <c r="I132" s="21"/>
      <c r="J132" s="20" t="str">
        <f aca="false">IF(OR($I132="",$H132="LOCAL"),"",ROUND($F132*$I132,0))</f>
        <v/>
      </c>
      <c r="K132" s="22"/>
    </row>
    <row r="133" customFormat="false" ht="15" hidden="false" customHeight="false" outlineLevel="0" collapsed="false">
      <c r="A133" s="17" t="s">
        <v>475</v>
      </c>
      <c r="B133" s="17" t="s">
        <v>476</v>
      </c>
      <c r="C133" s="17"/>
      <c r="D133" s="17"/>
      <c r="E133" s="18" t="s">
        <v>55</v>
      </c>
      <c r="F133" s="19" t="n">
        <v>1</v>
      </c>
      <c r="G133" s="20" t="n">
        <v>4</v>
      </c>
      <c r="H133" s="18" t="s">
        <v>50</v>
      </c>
      <c r="I133" s="21"/>
      <c r="J133" s="20" t="str">
        <f aca="false">IF(OR($I133="",$H133="LOCAL"),"",ROUND($F133*$I133,0))</f>
        <v/>
      </c>
      <c r="K133" s="22"/>
    </row>
    <row r="134" customFormat="false" ht="15" hidden="false" customHeight="false" outlineLevel="0" collapsed="false">
      <c r="A134" s="17" t="s">
        <v>477</v>
      </c>
      <c r="B134" s="17" t="s">
        <v>478</v>
      </c>
      <c r="C134" s="17" t="s">
        <v>479</v>
      </c>
      <c r="D134" s="17"/>
      <c r="E134" s="18" t="s">
        <v>68</v>
      </c>
      <c r="F134" s="19" t="n">
        <v>1</v>
      </c>
      <c r="G134" s="20" t="n">
        <v>220</v>
      </c>
      <c r="H134" s="18" t="s">
        <v>50</v>
      </c>
      <c r="I134" s="21"/>
      <c r="J134" s="20" t="str">
        <f aca="false">IF(OR($I134="",$H134="LOCAL"),"",ROUND($F134*$I134,0))</f>
        <v/>
      </c>
      <c r="K134" s="22"/>
    </row>
    <row r="135" customFormat="false" ht="15" hidden="false" customHeight="false" outlineLevel="0" collapsed="false">
      <c r="A135" s="17" t="s">
        <v>480</v>
      </c>
      <c r="B135" s="17" t="s">
        <v>481</v>
      </c>
      <c r="C135" s="17" t="s">
        <v>482</v>
      </c>
      <c r="D135" s="17"/>
      <c r="E135" s="18" t="s">
        <v>49</v>
      </c>
      <c r="F135" s="19" t="n">
        <v>4</v>
      </c>
      <c r="G135" s="20" t="n">
        <v>8</v>
      </c>
      <c r="H135" s="18" t="s">
        <v>50</v>
      </c>
      <c r="I135" s="21"/>
      <c r="J135" s="20" t="str">
        <f aca="false">IF(OR($I135="",$H135="LOCAL"),"",ROUND($F135*$I135,0))</f>
        <v/>
      </c>
      <c r="K135" s="22"/>
    </row>
    <row r="136" customFormat="false" ht="15" hidden="false" customHeight="false" outlineLevel="0" collapsed="false">
      <c r="A136" s="17" t="s">
        <v>483</v>
      </c>
      <c r="B136" s="17" t="s">
        <v>484</v>
      </c>
      <c r="C136" s="17" t="s">
        <v>485</v>
      </c>
      <c r="D136" s="17"/>
      <c r="E136" s="18" t="s">
        <v>55</v>
      </c>
      <c r="F136" s="19" t="n">
        <v>4</v>
      </c>
      <c r="G136" s="20" t="n">
        <v>30</v>
      </c>
      <c r="H136" s="18" t="s">
        <v>50</v>
      </c>
      <c r="I136" s="21"/>
      <c r="J136" s="20" t="str">
        <f aca="false">IF(OR($I136="",$H136="LOCAL"),"",ROUND($F136*$I136,0))</f>
        <v/>
      </c>
      <c r="K136" s="22"/>
    </row>
    <row r="137" customFormat="false" ht="15" hidden="false" customHeight="false" outlineLevel="0" collapsed="false">
      <c r="A137" s="17" t="s">
        <v>486</v>
      </c>
      <c r="B137" s="17" t="s">
        <v>487</v>
      </c>
      <c r="C137" s="17"/>
      <c r="D137" s="17"/>
      <c r="E137" s="18" t="s">
        <v>68</v>
      </c>
      <c r="F137" s="19" t="n">
        <v>1</v>
      </c>
      <c r="G137" s="20" t="n">
        <v>5</v>
      </c>
      <c r="H137" s="18" t="s">
        <v>50</v>
      </c>
      <c r="I137" s="21"/>
      <c r="J137" s="20" t="str">
        <f aca="false">IF(OR($I137="",$H137="LOCAL"),"",ROUND($F137*$I137,0))</f>
        <v/>
      </c>
      <c r="K137" s="22"/>
    </row>
    <row r="138" customFormat="false" ht="15" hidden="false" customHeight="false" outlineLevel="0" collapsed="false">
      <c r="A138" s="25" t="s">
        <v>488</v>
      </c>
      <c r="B138" s="25" t="s">
        <v>489</v>
      </c>
      <c r="C138" s="25" t="s">
        <v>490</v>
      </c>
      <c r="D138" s="25"/>
      <c r="E138" s="26" t="s">
        <v>68</v>
      </c>
      <c r="F138" s="27" t="n">
        <v>1</v>
      </c>
      <c r="G138" s="28"/>
      <c r="H138" s="26" t="s">
        <v>491</v>
      </c>
      <c r="I138" s="28"/>
      <c r="J138" s="29" t="str">
        <f aca="false">IF(OR($I138="",$H138="LOCAL"),"",ROUND($F138*$I138,0))</f>
        <v/>
      </c>
      <c r="K138" s="25"/>
    </row>
    <row r="139" customFormat="false" ht="15" hidden="false" customHeight="false" outlineLevel="0" collapsed="false">
      <c r="A139" s="15" t="s">
        <v>492</v>
      </c>
      <c r="B139" s="15" t="s">
        <v>493</v>
      </c>
      <c r="C139" s="16"/>
      <c r="D139" s="16"/>
      <c r="E139" s="16"/>
      <c r="F139" s="16"/>
      <c r="G139" s="16"/>
      <c r="H139" s="16"/>
      <c r="I139" s="16"/>
      <c r="J139" s="16"/>
      <c r="K139" s="16"/>
    </row>
    <row r="140" customFormat="false" ht="22.35" hidden="false" customHeight="false" outlineLevel="0" collapsed="false">
      <c r="A140" s="17" t="s">
        <v>494</v>
      </c>
      <c r="B140" s="17" t="s">
        <v>495</v>
      </c>
      <c r="C140" s="17" t="s">
        <v>496</v>
      </c>
      <c r="D140" s="17" t="s">
        <v>497</v>
      </c>
      <c r="E140" s="18" t="s">
        <v>49</v>
      </c>
      <c r="F140" s="19" t="n">
        <v>1</v>
      </c>
      <c r="G140" s="20" t="n">
        <v>1400</v>
      </c>
      <c r="H140" s="18" t="s">
        <v>50</v>
      </c>
      <c r="I140" s="21"/>
      <c r="J140" s="20" t="str">
        <f aca="false">IF(OR($I140="",$H140="LOCAL"),"",ROUND($F140*$I140,0))</f>
        <v/>
      </c>
      <c r="K140" s="22"/>
    </row>
    <row r="141" customFormat="false" ht="15" hidden="false" customHeight="false" outlineLevel="0" collapsed="false">
      <c r="A141" s="17" t="s">
        <v>498</v>
      </c>
      <c r="B141" s="17" t="s">
        <v>499</v>
      </c>
      <c r="C141" s="17" t="s">
        <v>500</v>
      </c>
      <c r="D141" s="17"/>
      <c r="E141" s="18" t="s">
        <v>55</v>
      </c>
      <c r="F141" s="19" t="n">
        <v>1</v>
      </c>
      <c r="G141" s="20" t="n">
        <v>380</v>
      </c>
      <c r="H141" s="18" t="s">
        <v>50</v>
      </c>
      <c r="I141" s="21"/>
      <c r="J141" s="20" t="str">
        <f aca="false">IF(OR($I141="",$H141="LOCAL"),"",ROUND($F141*$I141,0))</f>
        <v/>
      </c>
      <c r="K141" s="22"/>
    </row>
    <row r="142" customFormat="false" ht="15" hidden="false" customHeight="false" outlineLevel="0" collapsed="false">
      <c r="A142" s="17" t="s">
        <v>501</v>
      </c>
      <c r="B142" s="17" t="s">
        <v>502</v>
      </c>
      <c r="C142" s="17" t="s">
        <v>503</v>
      </c>
      <c r="D142" s="17" t="s">
        <v>504</v>
      </c>
      <c r="E142" s="18" t="s">
        <v>55</v>
      </c>
      <c r="F142" s="19" t="n">
        <v>1</v>
      </c>
      <c r="G142" s="20" t="n">
        <v>35</v>
      </c>
      <c r="H142" s="18" t="s">
        <v>50</v>
      </c>
      <c r="I142" s="21"/>
      <c r="J142" s="20" t="str">
        <f aca="false">IF(OR($I142="",$H142="LOCAL"),"",ROUND($F142*$I142,0))</f>
        <v/>
      </c>
      <c r="K142" s="22"/>
    </row>
    <row r="143" customFormat="false" ht="15" hidden="false" customHeight="false" outlineLevel="0" collapsed="false">
      <c r="A143" s="17" t="s">
        <v>505</v>
      </c>
      <c r="B143" s="17" t="s">
        <v>506</v>
      </c>
      <c r="C143" s="17" t="s">
        <v>507</v>
      </c>
      <c r="D143" s="17"/>
      <c r="E143" s="18" t="s">
        <v>55</v>
      </c>
      <c r="F143" s="19" t="n">
        <v>1</v>
      </c>
      <c r="G143" s="20" t="n">
        <v>40</v>
      </c>
      <c r="H143" s="18" t="s">
        <v>50</v>
      </c>
      <c r="I143" s="21"/>
      <c r="J143" s="20" t="str">
        <f aca="false">IF(OR($I143="",$H143="LOCAL"),"",ROUND($F143*$I143,0))</f>
        <v/>
      </c>
      <c r="K143" s="22"/>
    </row>
    <row r="144" customFormat="false" ht="15" hidden="false" customHeight="false" outlineLevel="0" collapsed="false">
      <c r="A144" s="17" t="s">
        <v>508</v>
      </c>
      <c r="B144" s="17" t="s">
        <v>509</v>
      </c>
      <c r="C144" s="17" t="s">
        <v>510</v>
      </c>
      <c r="D144" s="17" t="s">
        <v>511</v>
      </c>
      <c r="E144" s="18" t="s">
        <v>49</v>
      </c>
      <c r="F144" s="19" t="n">
        <v>1</v>
      </c>
      <c r="G144" s="20" t="n">
        <v>2</v>
      </c>
      <c r="H144" s="18" t="s">
        <v>50</v>
      </c>
      <c r="I144" s="21"/>
      <c r="J144" s="20" t="str">
        <f aca="false">IF(OR($I144="",$H144="LOCAL"),"",ROUND($F144*$I144,0))</f>
        <v/>
      </c>
      <c r="K144" s="22"/>
    </row>
    <row r="145" customFormat="false" ht="15" hidden="false" customHeight="false" outlineLevel="0" collapsed="false">
      <c r="A145" s="17" t="s">
        <v>512</v>
      </c>
      <c r="B145" s="17" t="s">
        <v>513</v>
      </c>
      <c r="C145" s="17" t="s">
        <v>514</v>
      </c>
      <c r="D145" s="17"/>
      <c r="E145" s="18" t="s">
        <v>49</v>
      </c>
      <c r="F145" s="19" t="n">
        <v>1</v>
      </c>
      <c r="G145" s="20" t="n">
        <v>15</v>
      </c>
      <c r="H145" s="18" t="s">
        <v>50</v>
      </c>
      <c r="I145" s="21"/>
      <c r="J145" s="20" t="str">
        <f aca="false">IF(OR($I145="",$H145="LOCAL"),"",ROUND($F145*$I145,0))</f>
        <v/>
      </c>
      <c r="K145" s="22"/>
    </row>
    <row r="146" customFormat="false" ht="15" hidden="false" customHeight="false" outlineLevel="0" collapsed="false">
      <c r="A146" s="17" t="s">
        <v>515</v>
      </c>
      <c r="B146" s="17" t="s">
        <v>516</v>
      </c>
      <c r="C146" s="17" t="s">
        <v>511</v>
      </c>
      <c r="D146" s="17"/>
      <c r="E146" s="18" t="s">
        <v>55</v>
      </c>
      <c r="F146" s="19" t="n">
        <v>1</v>
      </c>
      <c r="G146" s="20" t="n">
        <v>3</v>
      </c>
      <c r="H146" s="18" t="s">
        <v>50</v>
      </c>
      <c r="I146" s="21"/>
      <c r="J146" s="20" t="str">
        <f aca="false">IF(OR($I146="",$H146="LOCAL"),"",ROUND($F146*$I146,0))</f>
        <v/>
      </c>
      <c r="K146" s="22"/>
    </row>
    <row r="147" customFormat="false" ht="15" hidden="false" customHeight="false" outlineLevel="0" collapsed="false">
      <c r="A147" s="17" t="s">
        <v>517</v>
      </c>
      <c r="B147" s="17" t="s">
        <v>518</v>
      </c>
      <c r="C147" s="17" t="s">
        <v>519</v>
      </c>
      <c r="D147" s="17"/>
      <c r="E147" s="18" t="s">
        <v>55</v>
      </c>
      <c r="F147" s="19" t="n">
        <v>1</v>
      </c>
      <c r="G147" s="20" t="n">
        <v>5</v>
      </c>
      <c r="H147" s="18" t="s">
        <v>50</v>
      </c>
      <c r="I147" s="21"/>
      <c r="J147" s="20" t="str">
        <f aca="false">IF(OR($I147="",$H147="LOCAL"),"",ROUND($F147*$I147,0))</f>
        <v/>
      </c>
      <c r="K147" s="22"/>
    </row>
    <row r="148" customFormat="false" ht="15" hidden="false" customHeight="false" outlineLevel="0" collapsed="false">
      <c r="A148" s="17" t="s">
        <v>520</v>
      </c>
      <c r="B148" s="17" t="s">
        <v>521</v>
      </c>
      <c r="C148" s="17"/>
      <c r="D148" s="17"/>
      <c r="E148" s="18" t="s">
        <v>68</v>
      </c>
      <c r="F148" s="19" t="n">
        <v>1</v>
      </c>
      <c r="G148" s="20" t="n">
        <v>3</v>
      </c>
      <c r="H148" s="18" t="s">
        <v>50</v>
      </c>
      <c r="I148" s="21"/>
      <c r="J148" s="20" t="str">
        <f aca="false">IF(OR($I148="",$H148="LOCAL"),"",ROUND($F148*$I148,0))</f>
        <v/>
      </c>
      <c r="K148" s="22"/>
    </row>
    <row r="149" customFormat="false" ht="15" hidden="false" customHeight="false" outlineLevel="0" collapsed="false">
      <c r="A149" s="15" t="s">
        <v>522</v>
      </c>
      <c r="B149" s="15" t="s">
        <v>523</v>
      </c>
      <c r="C149" s="16"/>
      <c r="D149" s="16"/>
      <c r="E149" s="16"/>
      <c r="F149" s="16"/>
      <c r="G149" s="16"/>
      <c r="H149" s="16"/>
      <c r="I149" s="16"/>
      <c r="J149" s="16"/>
      <c r="K149" s="16"/>
    </row>
    <row r="150" customFormat="false" ht="15" hidden="false" customHeight="false" outlineLevel="0" collapsed="false">
      <c r="A150" s="17" t="s">
        <v>524</v>
      </c>
      <c r="B150" s="17" t="s">
        <v>525</v>
      </c>
      <c r="C150" s="17" t="s">
        <v>526</v>
      </c>
      <c r="D150" s="17" t="s">
        <v>527</v>
      </c>
      <c r="E150" s="18" t="s">
        <v>34</v>
      </c>
      <c r="F150" s="24" t="n">
        <v>24.4</v>
      </c>
      <c r="G150" s="20" t="n">
        <v>730</v>
      </c>
      <c r="H150" s="18" t="s">
        <v>50</v>
      </c>
      <c r="I150" s="21"/>
      <c r="J150" s="20" t="str">
        <f aca="false">IF(OR($I150="",$H150="LOCAL"),"",ROUND($F150*$I150,0))</f>
        <v/>
      </c>
      <c r="K150" s="22"/>
    </row>
    <row r="151" customFormat="false" ht="15" hidden="false" customHeight="false" outlineLevel="0" collapsed="false">
      <c r="A151" s="17" t="s">
        <v>528</v>
      </c>
      <c r="B151" s="17" t="s">
        <v>529</v>
      </c>
      <c r="C151" s="17" t="s">
        <v>530</v>
      </c>
      <c r="D151" s="17"/>
      <c r="E151" s="18" t="s">
        <v>49</v>
      </c>
      <c r="F151" s="19" t="n">
        <v>2</v>
      </c>
      <c r="G151" s="20" t="n">
        <v>30</v>
      </c>
      <c r="H151" s="18" t="s">
        <v>50</v>
      </c>
      <c r="I151" s="21"/>
      <c r="J151" s="20" t="str">
        <f aca="false">IF(OR($I151="",$H151="LOCAL"),"",ROUND($F151*$I151,0))</f>
        <v/>
      </c>
      <c r="K151" s="22"/>
    </row>
    <row r="152" customFormat="false" ht="15" hidden="false" customHeight="false" outlineLevel="0" collapsed="false">
      <c r="A152" s="25" t="s">
        <v>531</v>
      </c>
      <c r="B152" s="25" t="s">
        <v>532</v>
      </c>
      <c r="C152" s="25" t="s">
        <v>533</v>
      </c>
      <c r="D152" s="25" t="s">
        <v>534</v>
      </c>
      <c r="E152" s="26" t="s">
        <v>49</v>
      </c>
      <c r="F152" s="27" t="n">
        <v>1</v>
      </c>
      <c r="G152" s="28"/>
      <c r="H152" s="26" t="s">
        <v>491</v>
      </c>
      <c r="I152" s="28"/>
      <c r="J152" s="29" t="str">
        <f aca="false">IF(OR($I152="",$H152="LOCAL"),"",ROUND($F152*$I152,0))</f>
        <v/>
      </c>
      <c r="K152" s="25"/>
    </row>
    <row r="153" customFormat="false" ht="15" hidden="false" customHeight="false" outlineLevel="0" collapsed="false">
      <c r="A153" s="25" t="s">
        <v>535</v>
      </c>
      <c r="B153" s="25" t="s">
        <v>536</v>
      </c>
      <c r="C153" s="25" t="s">
        <v>537</v>
      </c>
      <c r="D153" s="25"/>
      <c r="E153" s="26" t="s">
        <v>68</v>
      </c>
      <c r="F153" s="27" t="n">
        <v>1</v>
      </c>
      <c r="G153" s="28"/>
      <c r="H153" s="26" t="s">
        <v>491</v>
      </c>
      <c r="I153" s="28"/>
      <c r="J153" s="29" t="str">
        <f aca="false">IF(OR($I153="",$H153="LOCAL"),"",ROUND($F153*$I153,0))</f>
        <v/>
      </c>
      <c r="K153" s="25"/>
    </row>
    <row r="154" customFormat="false" ht="15" hidden="false" customHeight="false" outlineLevel="0" collapsed="false">
      <c r="A154" s="25" t="s">
        <v>538</v>
      </c>
      <c r="B154" s="25" t="s">
        <v>539</v>
      </c>
      <c r="C154" s="25" t="s">
        <v>540</v>
      </c>
      <c r="D154" s="25"/>
      <c r="E154" s="26" t="s">
        <v>68</v>
      </c>
      <c r="F154" s="27" t="n">
        <v>1</v>
      </c>
      <c r="G154" s="28"/>
      <c r="H154" s="26" t="s">
        <v>491</v>
      </c>
      <c r="I154" s="28"/>
      <c r="J154" s="29" t="str">
        <f aca="false">IF(OR($I154="",$H154="LOCAL"),"",ROUND($F154*$I154,0))</f>
        <v/>
      </c>
      <c r="K154" s="25"/>
    </row>
    <row r="155" customFormat="false" ht="15" hidden="false" customHeight="false" outlineLevel="0" collapsed="false">
      <c r="A155" s="15" t="s">
        <v>541</v>
      </c>
      <c r="B155" s="15" t="s">
        <v>542</v>
      </c>
      <c r="C155" s="16"/>
      <c r="D155" s="16"/>
      <c r="E155" s="16"/>
      <c r="F155" s="16"/>
      <c r="G155" s="16"/>
      <c r="H155" s="16"/>
      <c r="I155" s="16"/>
      <c r="J155" s="16"/>
      <c r="K155" s="16"/>
    </row>
    <row r="156" customFormat="false" ht="22.35" hidden="false" customHeight="false" outlineLevel="0" collapsed="false">
      <c r="A156" s="17" t="s">
        <v>543</v>
      </c>
      <c r="B156" s="17" t="s">
        <v>544</v>
      </c>
      <c r="C156" s="17" t="s">
        <v>545</v>
      </c>
      <c r="D156" s="17" t="s">
        <v>546</v>
      </c>
      <c r="E156" s="18" t="s">
        <v>49</v>
      </c>
      <c r="F156" s="19" t="n">
        <v>84</v>
      </c>
      <c r="G156" s="20" t="n">
        <v>3062</v>
      </c>
      <c r="H156" s="18" t="s">
        <v>50</v>
      </c>
      <c r="I156" s="21"/>
      <c r="J156" s="20" t="str">
        <f aca="false">IF(OR($I156="",$H156="LOCAL"),"",ROUND($F156*$I156,0))</f>
        <v/>
      </c>
      <c r="K156" s="22"/>
    </row>
    <row r="157" customFormat="false" ht="15" hidden="false" customHeight="false" outlineLevel="0" collapsed="false">
      <c r="A157" s="17" t="s">
        <v>547</v>
      </c>
      <c r="B157" s="17" t="s">
        <v>548</v>
      </c>
      <c r="C157" s="17" t="s">
        <v>549</v>
      </c>
      <c r="D157" s="17" t="s">
        <v>550</v>
      </c>
      <c r="E157" s="18" t="s">
        <v>68</v>
      </c>
      <c r="F157" s="19" t="n">
        <v>1</v>
      </c>
      <c r="G157" s="20" t="n">
        <v>320</v>
      </c>
      <c r="H157" s="18" t="s">
        <v>50</v>
      </c>
      <c r="I157" s="21"/>
      <c r="J157" s="20" t="str">
        <f aca="false">IF(OR($I157="",$H157="LOCAL"),"",ROUND($F157*$I157,0))</f>
        <v/>
      </c>
      <c r="K157" s="22"/>
    </row>
    <row r="158" customFormat="false" ht="15" hidden="false" customHeight="false" outlineLevel="0" collapsed="false">
      <c r="A158" s="17" t="s">
        <v>551</v>
      </c>
      <c r="B158" s="17" t="s">
        <v>552</v>
      </c>
      <c r="C158" s="17" t="s">
        <v>553</v>
      </c>
      <c r="D158" s="17"/>
      <c r="E158" s="18" t="s">
        <v>68</v>
      </c>
      <c r="F158" s="19" t="n">
        <v>1</v>
      </c>
      <c r="G158" s="20" t="n">
        <v>90</v>
      </c>
      <c r="H158" s="18" t="s">
        <v>50</v>
      </c>
      <c r="I158" s="21"/>
      <c r="J158" s="20" t="str">
        <f aca="false">IF(OR($I158="",$H158="LOCAL"),"",ROUND($F158*$I158,0))</f>
        <v/>
      </c>
      <c r="K158" s="22"/>
    </row>
    <row r="159" customFormat="false" ht="15" hidden="false" customHeight="false" outlineLevel="0" collapsed="false">
      <c r="A159" s="17" t="s">
        <v>554</v>
      </c>
      <c r="B159" s="17" t="s">
        <v>555</v>
      </c>
      <c r="C159" s="17" t="s">
        <v>556</v>
      </c>
      <c r="D159" s="17"/>
      <c r="E159" s="18" t="s">
        <v>68</v>
      </c>
      <c r="F159" s="19" t="n">
        <v>1</v>
      </c>
      <c r="G159" s="20" t="n">
        <v>25</v>
      </c>
      <c r="H159" s="18" t="s">
        <v>50</v>
      </c>
      <c r="I159" s="21"/>
      <c r="J159" s="20" t="str">
        <f aca="false">IF(OR($I159="",$H159="LOCAL"),"",ROUND($F159*$I159,0))</f>
        <v/>
      </c>
      <c r="K159" s="22"/>
    </row>
    <row r="160" customFormat="false" ht="15" hidden="false" customHeight="false" outlineLevel="0" collapsed="false">
      <c r="A160" s="17" t="s">
        <v>557</v>
      </c>
      <c r="B160" s="17" t="s">
        <v>558</v>
      </c>
      <c r="C160" s="17" t="s">
        <v>559</v>
      </c>
      <c r="D160" s="17" t="s">
        <v>560</v>
      </c>
      <c r="E160" s="18" t="s">
        <v>34</v>
      </c>
      <c r="F160" s="19" t="n">
        <v>560</v>
      </c>
      <c r="G160" s="20" t="n">
        <v>45</v>
      </c>
      <c r="H160" s="18" t="s">
        <v>50</v>
      </c>
      <c r="I160" s="21"/>
      <c r="J160" s="20" t="str">
        <f aca="false">IF(OR($I160="",$H160="LOCAL"),"",ROUND($F160*$I160,0))</f>
        <v/>
      </c>
      <c r="K160" s="22"/>
    </row>
    <row r="161" customFormat="false" ht="15" hidden="false" customHeight="false" outlineLevel="0" collapsed="false">
      <c r="A161" s="17" t="s">
        <v>561</v>
      </c>
      <c r="B161" s="17" t="s">
        <v>562</v>
      </c>
      <c r="C161" s="17" t="s">
        <v>563</v>
      </c>
      <c r="D161" s="17"/>
      <c r="E161" s="18" t="s">
        <v>68</v>
      </c>
      <c r="F161" s="19" t="n">
        <v>1</v>
      </c>
      <c r="G161" s="20" t="n">
        <v>5</v>
      </c>
      <c r="H161" s="18" t="s">
        <v>50</v>
      </c>
      <c r="I161" s="21"/>
      <c r="J161" s="20" t="str">
        <f aca="false">IF(OR($I161="",$H161="LOCAL"),"",ROUND($F161*$I161,0))</f>
        <v/>
      </c>
      <c r="K161" s="22"/>
    </row>
    <row r="162" customFormat="false" ht="15" hidden="false" customHeight="false" outlineLevel="0" collapsed="false">
      <c r="A162" s="17" t="s">
        <v>564</v>
      </c>
      <c r="B162" s="17" t="s">
        <v>565</v>
      </c>
      <c r="C162" s="17" t="s">
        <v>566</v>
      </c>
      <c r="D162" s="17"/>
      <c r="E162" s="18" t="s">
        <v>49</v>
      </c>
      <c r="F162" s="19" t="n">
        <v>4</v>
      </c>
      <c r="G162" s="20" t="n">
        <v>8</v>
      </c>
      <c r="H162" s="18" t="s">
        <v>50</v>
      </c>
      <c r="I162" s="21"/>
      <c r="J162" s="20" t="str">
        <f aca="false">IF(OR($I162="",$H162="LOCAL"),"",ROUND($F162*$I162,0))</f>
        <v/>
      </c>
      <c r="K162" s="22"/>
    </row>
    <row r="163" customFormat="false" ht="15" hidden="false" customHeight="false" outlineLevel="0" collapsed="false">
      <c r="A163" s="17" t="s">
        <v>567</v>
      </c>
      <c r="B163" s="17" t="s">
        <v>568</v>
      </c>
      <c r="C163" s="17" t="s">
        <v>569</v>
      </c>
      <c r="D163" s="17"/>
      <c r="E163" s="18" t="s">
        <v>68</v>
      </c>
      <c r="F163" s="19" t="n">
        <v>1</v>
      </c>
      <c r="G163" s="20" t="n">
        <v>10</v>
      </c>
      <c r="H163" s="18" t="s">
        <v>50</v>
      </c>
      <c r="I163" s="21"/>
      <c r="J163" s="20" t="str">
        <f aca="false">IF(OR($I163="",$H163="LOCAL"),"",ROUND($F163*$I163,0))</f>
        <v/>
      </c>
      <c r="K163" s="22"/>
    </row>
    <row r="164" customFormat="false" ht="15" hidden="false" customHeight="false" outlineLevel="0" collapsed="false">
      <c r="A164" s="17" t="s">
        <v>570</v>
      </c>
      <c r="B164" s="17" t="s">
        <v>571</v>
      </c>
      <c r="C164" s="17" t="s">
        <v>572</v>
      </c>
      <c r="D164" s="17"/>
      <c r="E164" s="18" t="s">
        <v>68</v>
      </c>
      <c r="F164" s="19" t="n">
        <v>1</v>
      </c>
      <c r="G164" s="20" t="n">
        <v>40</v>
      </c>
      <c r="H164" s="18" t="s">
        <v>50</v>
      </c>
      <c r="I164" s="21"/>
      <c r="J164" s="20" t="str">
        <f aca="false">IF(OR($I164="",$H164="LOCAL"),"",ROUND($F164*$I164,0))</f>
        <v/>
      </c>
      <c r="K164" s="22"/>
    </row>
    <row r="165" customFormat="false" ht="15" hidden="false" customHeight="false" outlineLevel="0" collapsed="false">
      <c r="A165" s="17" t="s">
        <v>573</v>
      </c>
      <c r="B165" s="17" t="s">
        <v>574</v>
      </c>
      <c r="C165" s="17" t="s">
        <v>575</v>
      </c>
      <c r="D165" s="17"/>
      <c r="E165" s="18" t="s">
        <v>68</v>
      </c>
      <c r="F165" s="19" t="n">
        <v>1</v>
      </c>
      <c r="G165" s="23"/>
      <c r="H165" s="18" t="s">
        <v>50</v>
      </c>
      <c r="I165" s="21"/>
      <c r="J165" s="20" t="str">
        <f aca="false">IF(OR($I165="",$H165="LOCAL"),"",ROUND($F165*$I165,0))</f>
        <v/>
      </c>
      <c r="K165" s="22"/>
    </row>
    <row r="166" customFormat="false" ht="15" hidden="false" customHeight="false" outlineLevel="0" collapsed="false">
      <c r="A166" s="17" t="s">
        <v>576</v>
      </c>
      <c r="B166" s="17" t="s">
        <v>577</v>
      </c>
      <c r="C166" s="17" t="s">
        <v>578</v>
      </c>
      <c r="D166" s="17" t="s">
        <v>579</v>
      </c>
      <c r="E166" s="18" t="s">
        <v>49</v>
      </c>
      <c r="F166" s="19" t="n">
        <v>2</v>
      </c>
      <c r="G166" s="20" t="n">
        <v>73</v>
      </c>
      <c r="H166" s="30" t="s">
        <v>580</v>
      </c>
      <c r="I166" s="21"/>
      <c r="J166" s="20" t="str">
        <f aca="false">IF(OR($I166="",$H166="LOCAL"),"",ROUND($F166*$I166,0))</f>
        <v/>
      </c>
      <c r="K166" s="22"/>
    </row>
    <row r="167" customFormat="false" ht="15" hidden="false" customHeight="false" outlineLevel="0" collapsed="false">
      <c r="A167" s="15" t="s">
        <v>581</v>
      </c>
      <c r="B167" s="15" t="s">
        <v>582</v>
      </c>
      <c r="C167" s="16"/>
      <c r="D167" s="16"/>
      <c r="E167" s="16"/>
      <c r="F167" s="16"/>
      <c r="G167" s="16"/>
      <c r="H167" s="16"/>
      <c r="I167" s="16"/>
      <c r="J167" s="16"/>
      <c r="K167" s="16"/>
    </row>
    <row r="168" customFormat="false" ht="22.35" hidden="false" customHeight="false" outlineLevel="0" collapsed="false">
      <c r="A168" s="17" t="s">
        <v>583</v>
      </c>
      <c r="B168" s="17" t="s">
        <v>584</v>
      </c>
      <c r="C168" s="17" t="s">
        <v>585</v>
      </c>
      <c r="D168" s="17" t="s">
        <v>586</v>
      </c>
      <c r="E168" s="18" t="s">
        <v>49</v>
      </c>
      <c r="F168" s="19" t="n">
        <v>2</v>
      </c>
      <c r="G168" s="20" t="n">
        <v>90</v>
      </c>
      <c r="H168" s="18" t="s">
        <v>50</v>
      </c>
      <c r="I168" s="21"/>
      <c r="J168" s="20" t="str">
        <f aca="false">IF(OR($I168="",$H168="LOCAL"),"",ROUND($F168*$I168,0))</f>
        <v/>
      </c>
      <c r="K168" s="22"/>
    </row>
    <row r="169" customFormat="false" ht="15" hidden="false" customHeight="false" outlineLevel="0" collapsed="false">
      <c r="A169" s="17" t="s">
        <v>587</v>
      </c>
      <c r="B169" s="17" t="s">
        <v>588</v>
      </c>
      <c r="C169" s="17" t="s">
        <v>589</v>
      </c>
      <c r="D169" s="17" t="s">
        <v>590</v>
      </c>
      <c r="E169" s="18" t="s">
        <v>49</v>
      </c>
      <c r="F169" s="19" t="n">
        <v>2</v>
      </c>
      <c r="G169" s="20" t="n">
        <v>600</v>
      </c>
      <c r="H169" s="18" t="s">
        <v>50</v>
      </c>
      <c r="I169" s="21"/>
      <c r="J169" s="20" t="str">
        <f aca="false">IF(OR($I169="",$H169="LOCAL"),"",ROUND($F169*$I169,0))</f>
        <v/>
      </c>
      <c r="K169" s="22"/>
    </row>
    <row r="170" customFormat="false" ht="22.35" hidden="false" customHeight="false" outlineLevel="0" collapsed="false">
      <c r="A170" s="17" t="s">
        <v>591</v>
      </c>
      <c r="B170" s="17" t="s">
        <v>592</v>
      </c>
      <c r="C170" s="17" t="s">
        <v>593</v>
      </c>
      <c r="D170" s="17" t="s">
        <v>594</v>
      </c>
      <c r="E170" s="18" t="s">
        <v>49</v>
      </c>
      <c r="F170" s="19" t="n">
        <v>10</v>
      </c>
      <c r="G170" s="20" t="n">
        <v>550</v>
      </c>
      <c r="H170" s="18" t="s">
        <v>50</v>
      </c>
      <c r="I170" s="21"/>
      <c r="J170" s="20" t="str">
        <f aca="false">IF(OR($I170="",$H170="LOCAL"),"",ROUND($F170*$I170,0))</f>
        <v/>
      </c>
      <c r="K170" s="22"/>
    </row>
    <row r="171" customFormat="false" ht="15" hidden="false" customHeight="false" outlineLevel="0" collapsed="false">
      <c r="A171" s="17" t="s">
        <v>595</v>
      </c>
      <c r="B171" s="17" t="s">
        <v>596</v>
      </c>
      <c r="C171" s="17" t="s">
        <v>597</v>
      </c>
      <c r="D171" s="17"/>
      <c r="E171" s="18" t="s">
        <v>55</v>
      </c>
      <c r="F171" s="19" t="n">
        <v>1</v>
      </c>
      <c r="G171" s="20" t="n">
        <v>8</v>
      </c>
      <c r="H171" s="18" t="s">
        <v>50</v>
      </c>
      <c r="I171" s="21"/>
      <c r="J171" s="20" t="str">
        <f aca="false">IF(OR($I171="",$H171="LOCAL"),"",ROUND($F171*$I171,0))</f>
        <v/>
      </c>
      <c r="K171" s="22"/>
    </row>
    <row r="172" customFormat="false" ht="15" hidden="false" customHeight="false" outlineLevel="0" collapsed="false">
      <c r="A172" s="17" t="s">
        <v>598</v>
      </c>
      <c r="B172" s="17" t="s">
        <v>599</v>
      </c>
      <c r="C172" s="17" t="s">
        <v>600</v>
      </c>
      <c r="D172" s="17" t="s">
        <v>601</v>
      </c>
      <c r="E172" s="18" t="s">
        <v>49</v>
      </c>
      <c r="F172" s="19" t="n">
        <v>2</v>
      </c>
      <c r="G172" s="20" t="n">
        <v>60</v>
      </c>
      <c r="H172" s="18" t="s">
        <v>50</v>
      </c>
      <c r="I172" s="21"/>
      <c r="J172" s="20" t="str">
        <f aca="false">IF(OR($I172="",$H172="LOCAL"),"",ROUND($F172*$I172,0))</f>
        <v/>
      </c>
      <c r="K172" s="22"/>
    </row>
    <row r="173" customFormat="false" ht="15" hidden="false" customHeight="false" outlineLevel="0" collapsed="false">
      <c r="A173" s="17" t="s">
        <v>602</v>
      </c>
      <c r="B173" s="17" t="s">
        <v>603</v>
      </c>
      <c r="C173" s="17" t="s">
        <v>604</v>
      </c>
      <c r="D173" s="17"/>
      <c r="E173" s="18" t="s">
        <v>68</v>
      </c>
      <c r="F173" s="19" t="n">
        <v>1</v>
      </c>
      <c r="G173" s="20" t="n">
        <v>3</v>
      </c>
      <c r="H173" s="18" t="s">
        <v>50</v>
      </c>
      <c r="I173" s="21"/>
      <c r="J173" s="20" t="str">
        <f aca="false">IF(OR($I173="",$H173="LOCAL"),"",ROUND($F173*$I173,0))</f>
        <v/>
      </c>
      <c r="K173" s="22"/>
    </row>
    <row r="174" customFormat="false" ht="15" hidden="false" customHeight="false" outlineLevel="0" collapsed="false">
      <c r="A174" s="17" t="s">
        <v>605</v>
      </c>
      <c r="B174" s="17" t="s">
        <v>606</v>
      </c>
      <c r="C174" s="17" t="s">
        <v>607</v>
      </c>
      <c r="D174" s="17"/>
      <c r="E174" s="18" t="s">
        <v>49</v>
      </c>
      <c r="F174" s="19" t="n">
        <v>1</v>
      </c>
      <c r="G174" s="20" t="n">
        <v>45</v>
      </c>
      <c r="H174" s="18" t="s">
        <v>50</v>
      </c>
      <c r="I174" s="21"/>
      <c r="J174" s="20" t="str">
        <f aca="false">IF(OR($I174="",$H174="LOCAL"),"",ROUND($F174*$I174,0))</f>
        <v/>
      </c>
      <c r="K174" s="22"/>
    </row>
    <row r="175" customFormat="false" ht="15" hidden="false" customHeight="false" outlineLevel="0" collapsed="false">
      <c r="A175" s="17" t="s">
        <v>608</v>
      </c>
      <c r="B175" s="17" t="s">
        <v>609</v>
      </c>
      <c r="C175" s="17" t="s">
        <v>610</v>
      </c>
      <c r="D175" s="17"/>
      <c r="E175" s="18" t="s">
        <v>55</v>
      </c>
      <c r="F175" s="19" t="n">
        <v>1</v>
      </c>
      <c r="G175" s="20" t="n">
        <v>6</v>
      </c>
      <c r="H175" s="18" t="s">
        <v>50</v>
      </c>
      <c r="I175" s="21"/>
      <c r="J175" s="20" t="str">
        <f aca="false">IF(OR($I175="",$H175="LOCAL"),"",ROUND($F175*$I175,0))</f>
        <v/>
      </c>
      <c r="K175" s="22"/>
    </row>
    <row r="176" customFormat="false" ht="15" hidden="false" customHeight="false" outlineLevel="0" collapsed="false">
      <c r="A176" s="17" t="s">
        <v>611</v>
      </c>
      <c r="B176" s="17" t="s">
        <v>612</v>
      </c>
      <c r="C176" s="17" t="s">
        <v>613</v>
      </c>
      <c r="D176" s="17"/>
      <c r="E176" s="18" t="s">
        <v>68</v>
      </c>
      <c r="F176" s="19" t="n">
        <v>1</v>
      </c>
      <c r="G176" s="20" t="n">
        <v>2</v>
      </c>
      <c r="H176" s="18" t="s">
        <v>50</v>
      </c>
      <c r="I176" s="21"/>
      <c r="J176" s="20" t="str">
        <f aca="false">IF(OR($I176="",$H176="LOCAL"),"",ROUND($F176*$I176,0))</f>
        <v/>
      </c>
      <c r="K176" s="22"/>
    </row>
    <row r="177" customFormat="false" ht="15" hidden="false" customHeight="false" outlineLevel="0" collapsed="false">
      <c r="A177" s="15" t="s">
        <v>614</v>
      </c>
      <c r="B177" s="15" t="s">
        <v>615</v>
      </c>
      <c r="C177" s="16"/>
      <c r="D177" s="16"/>
      <c r="E177" s="16"/>
      <c r="F177" s="16"/>
      <c r="G177" s="16"/>
      <c r="H177" s="16"/>
      <c r="I177" s="16"/>
      <c r="J177" s="16"/>
      <c r="K177" s="16"/>
    </row>
    <row r="178" customFormat="false" ht="22.35" hidden="false" customHeight="false" outlineLevel="0" collapsed="false">
      <c r="A178" s="17" t="s">
        <v>616</v>
      </c>
      <c r="B178" s="17" t="s">
        <v>617</v>
      </c>
      <c r="C178" s="17" t="s">
        <v>618</v>
      </c>
      <c r="D178" s="17" t="s">
        <v>619</v>
      </c>
      <c r="E178" s="18" t="s">
        <v>49</v>
      </c>
      <c r="F178" s="19" t="n">
        <v>1</v>
      </c>
      <c r="G178" s="20" t="n">
        <v>700</v>
      </c>
      <c r="H178" s="18" t="s">
        <v>50</v>
      </c>
      <c r="I178" s="21"/>
      <c r="J178" s="20" t="str">
        <f aca="false">IF(OR($I178="",$H178="LOCAL"),"",ROUND($F178*$I178,0))</f>
        <v/>
      </c>
      <c r="K178" s="22"/>
    </row>
    <row r="179" customFormat="false" ht="15" hidden="false" customHeight="false" outlineLevel="0" collapsed="false">
      <c r="A179" s="17" t="s">
        <v>620</v>
      </c>
      <c r="B179" s="17" t="s">
        <v>621</v>
      </c>
      <c r="C179" s="17" t="s">
        <v>622</v>
      </c>
      <c r="D179" s="17"/>
      <c r="E179" s="18" t="s">
        <v>291</v>
      </c>
      <c r="F179" s="19" t="n">
        <v>20</v>
      </c>
      <c r="G179" s="20" t="n">
        <v>250</v>
      </c>
      <c r="H179" s="18" t="s">
        <v>50</v>
      </c>
      <c r="I179" s="21"/>
      <c r="J179" s="20" t="str">
        <f aca="false">IF(OR($I179="",$H179="LOCAL"),"",ROUND($F179*$I179,0))</f>
        <v/>
      </c>
      <c r="K179" s="22"/>
    </row>
    <row r="180" customFormat="false" ht="15" hidden="false" customHeight="false" outlineLevel="0" collapsed="false">
      <c r="A180" s="17" t="s">
        <v>623</v>
      </c>
      <c r="B180" s="17" t="s">
        <v>624</v>
      </c>
      <c r="C180" s="17" t="s">
        <v>625</v>
      </c>
      <c r="D180" s="17"/>
      <c r="E180" s="18" t="s">
        <v>291</v>
      </c>
      <c r="F180" s="19" t="n">
        <v>20</v>
      </c>
      <c r="G180" s="20" t="n">
        <v>300</v>
      </c>
      <c r="H180" s="18" t="s">
        <v>50</v>
      </c>
      <c r="I180" s="21"/>
      <c r="J180" s="20" t="str">
        <f aca="false">IF(OR($I180="",$H180="LOCAL"),"",ROUND($F180*$I180,0))</f>
        <v/>
      </c>
      <c r="K180" s="22"/>
    </row>
    <row r="181" customFormat="false" ht="15" hidden="false" customHeight="false" outlineLevel="0" collapsed="false">
      <c r="A181" s="17" t="s">
        <v>626</v>
      </c>
      <c r="B181" s="17" t="s">
        <v>627</v>
      </c>
      <c r="C181" s="17" t="s">
        <v>628</v>
      </c>
      <c r="D181" s="17"/>
      <c r="E181" s="18" t="s">
        <v>68</v>
      </c>
      <c r="F181" s="19" t="n">
        <v>1</v>
      </c>
      <c r="G181" s="20" t="n">
        <v>120</v>
      </c>
      <c r="H181" s="18" t="s">
        <v>50</v>
      </c>
      <c r="I181" s="21"/>
      <c r="J181" s="20" t="str">
        <f aca="false">IF(OR($I181="",$H181="LOCAL"),"",ROUND($F181*$I181,0))</f>
        <v/>
      </c>
      <c r="K181" s="22"/>
    </row>
    <row r="182" customFormat="false" ht="15" hidden="false" customHeight="false" outlineLevel="0" collapsed="false">
      <c r="A182" s="17" t="s">
        <v>629</v>
      </c>
      <c r="B182" s="17" t="s">
        <v>630</v>
      </c>
      <c r="C182" s="17" t="s">
        <v>631</v>
      </c>
      <c r="D182" s="17"/>
      <c r="E182" s="18" t="s">
        <v>55</v>
      </c>
      <c r="F182" s="19" t="n">
        <v>1</v>
      </c>
      <c r="G182" s="20" t="n">
        <v>180</v>
      </c>
      <c r="H182" s="18" t="s">
        <v>50</v>
      </c>
      <c r="I182" s="21"/>
      <c r="J182" s="20" t="str">
        <f aca="false">IF(OR($I182="",$H182="LOCAL"),"",ROUND($F182*$I182,0))</f>
        <v/>
      </c>
      <c r="K182" s="22"/>
    </row>
    <row r="183" customFormat="false" ht="15" hidden="false" customHeight="false" outlineLevel="0" collapsed="false">
      <c r="A183" s="17" t="s">
        <v>632</v>
      </c>
      <c r="B183" s="17" t="s">
        <v>633</v>
      </c>
      <c r="C183" s="17" t="s">
        <v>634</v>
      </c>
      <c r="D183" s="17"/>
      <c r="E183" s="18" t="s">
        <v>49</v>
      </c>
      <c r="F183" s="19" t="n">
        <v>4</v>
      </c>
      <c r="G183" s="20" t="n">
        <v>120</v>
      </c>
      <c r="H183" s="18" t="s">
        <v>50</v>
      </c>
      <c r="I183" s="21"/>
      <c r="J183" s="20" t="str">
        <f aca="false">IF(OR($I183="",$H183="LOCAL"),"",ROUND($F183*$I183,0))</f>
        <v/>
      </c>
      <c r="K183" s="22"/>
    </row>
    <row r="184" customFormat="false" ht="15" hidden="false" customHeight="false" outlineLevel="0" collapsed="false">
      <c r="A184" s="17" t="s">
        <v>635</v>
      </c>
      <c r="B184" s="17" t="s">
        <v>636</v>
      </c>
      <c r="C184" s="17"/>
      <c r="D184" s="17"/>
      <c r="E184" s="18" t="s">
        <v>55</v>
      </c>
      <c r="F184" s="19" t="n">
        <v>1</v>
      </c>
      <c r="G184" s="20" t="n">
        <v>15</v>
      </c>
      <c r="H184" s="18" t="s">
        <v>50</v>
      </c>
      <c r="I184" s="21"/>
      <c r="J184" s="20" t="str">
        <f aca="false">IF(OR($I184="",$H184="LOCAL"),"",ROUND($F184*$I184,0))</f>
        <v/>
      </c>
      <c r="K184" s="22"/>
    </row>
    <row r="185" customFormat="false" ht="15" hidden="false" customHeight="false" outlineLevel="0" collapsed="false">
      <c r="A185" s="15" t="s">
        <v>637</v>
      </c>
      <c r="B185" s="15" t="s">
        <v>638</v>
      </c>
      <c r="C185" s="16"/>
      <c r="D185" s="16"/>
      <c r="E185" s="16"/>
      <c r="F185" s="16"/>
      <c r="G185" s="16"/>
      <c r="H185" s="16"/>
      <c r="I185" s="16"/>
      <c r="J185" s="16"/>
      <c r="K185" s="16"/>
    </row>
    <row r="186" customFormat="false" ht="22.35" hidden="false" customHeight="false" outlineLevel="0" collapsed="false">
      <c r="A186" s="17" t="s">
        <v>639</v>
      </c>
      <c r="B186" s="17" t="s">
        <v>640</v>
      </c>
      <c r="C186" s="17" t="s">
        <v>641</v>
      </c>
      <c r="D186" s="17" t="s">
        <v>642</v>
      </c>
      <c r="E186" s="18" t="s">
        <v>49</v>
      </c>
      <c r="F186" s="19" t="n">
        <v>1</v>
      </c>
      <c r="G186" s="20" t="n">
        <v>280</v>
      </c>
      <c r="H186" s="18" t="s">
        <v>50</v>
      </c>
      <c r="I186" s="21"/>
      <c r="J186" s="20" t="str">
        <f aca="false">IF(OR($I186="",$H186="LOCAL"),"",ROUND($F186*$I186,0))</f>
        <v/>
      </c>
      <c r="K186" s="22"/>
    </row>
    <row r="187" customFormat="false" ht="22.35" hidden="false" customHeight="false" outlineLevel="0" collapsed="false">
      <c r="A187" s="17" t="s">
        <v>643</v>
      </c>
      <c r="B187" s="17" t="s">
        <v>644</v>
      </c>
      <c r="C187" s="17" t="s">
        <v>645</v>
      </c>
      <c r="D187" s="17"/>
      <c r="E187" s="18" t="s">
        <v>49</v>
      </c>
      <c r="F187" s="19" t="n">
        <v>1</v>
      </c>
      <c r="G187" s="20" t="n">
        <v>5</v>
      </c>
      <c r="H187" s="18" t="s">
        <v>50</v>
      </c>
      <c r="I187" s="21"/>
      <c r="J187" s="20" t="str">
        <f aca="false">IF(OR($I187="",$H187="LOCAL"),"",ROUND($F187*$I187,0))</f>
        <v/>
      </c>
      <c r="K187" s="22"/>
    </row>
    <row r="188" customFormat="false" ht="15" hidden="false" customHeight="false" outlineLevel="0" collapsed="false">
      <c r="A188" s="17" t="s">
        <v>646</v>
      </c>
      <c r="B188" s="17" t="s">
        <v>647</v>
      </c>
      <c r="C188" s="17" t="s">
        <v>648</v>
      </c>
      <c r="D188" s="17"/>
      <c r="E188" s="18" t="s">
        <v>55</v>
      </c>
      <c r="F188" s="19" t="n">
        <v>1</v>
      </c>
      <c r="G188" s="20" t="n">
        <v>15</v>
      </c>
      <c r="H188" s="18" t="s">
        <v>50</v>
      </c>
      <c r="I188" s="21"/>
      <c r="J188" s="20" t="str">
        <f aca="false">IF(OR($I188="",$H188="LOCAL"),"",ROUND($F188*$I188,0))</f>
        <v/>
      </c>
      <c r="K188" s="22"/>
    </row>
    <row r="189" customFormat="false" ht="15" hidden="false" customHeight="false" outlineLevel="0" collapsed="false">
      <c r="A189" s="17" t="s">
        <v>649</v>
      </c>
      <c r="B189" s="17" t="s">
        <v>650</v>
      </c>
      <c r="C189" s="17" t="s">
        <v>651</v>
      </c>
      <c r="D189" s="17"/>
      <c r="E189" s="18" t="s">
        <v>55</v>
      </c>
      <c r="F189" s="19" t="n">
        <v>1</v>
      </c>
      <c r="G189" s="20" t="n">
        <v>4</v>
      </c>
      <c r="H189" s="18" t="s">
        <v>50</v>
      </c>
      <c r="I189" s="21"/>
      <c r="J189" s="20" t="str">
        <f aca="false">IF(OR($I189="",$H189="LOCAL"),"",ROUND($F189*$I189,0))</f>
        <v/>
      </c>
      <c r="K189" s="22"/>
    </row>
    <row r="190" customFormat="false" ht="15" hidden="false" customHeight="false" outlineLevel="0" collapsed="false">
      <c r="A190" s="17" t="s">
        <v>652</v>
      </c>
      <c r="B190" s="17" t="s">
        <v>653</v>
      </c>
      <c r="C190" s="17" t="s">
        <v>654</v>
      </c>
      <c r="D190" s="17"/>
      <c r="E190" s="18" t="s">
        <v>49</v>
      </c>
      <c r="F190" s="19" t="n">
        <v>1</v>
      </c>
      <c r="G190" s="20" t="n">
        <v>6</v>
      </c>
      <c r="H190" s="18" t="s">
        <v>50</v>
      </c>
      <c r="I190" s="21"/>
      <c r="J190" s="20" t="str">
        <f aca="false">IF(OR($I190="",$H190="LOCAL"),"",ROUND($F190*$I190,0))</f>
        <v/>
      </c>
      <c r="K190" s="22"/>
    </row>
    <row r="191" customFormat="false" ht="15" hidden="false" customHeight="false" outlineLevel="0" collapsed="false">
      <c r="A191" s="17" t="s">
        <v>655</v>
      </c>
      <c r="B191" s="17" t="s">
        <v>656</v>
      </c>
      <c r="C191" s="17" t="s">
        <v>657</v>
      </c>
      <c r="D191" s="17"/>
      <c r="E191" s="18" t="s">
        <v>49</v>
      </c>
      <c r="F191" s="19" t="n">
        <v>1</v>
      </c>
      <c r="G191" s="20" t="n">
        <v>40</v>
      </c>
      <c r="H191" s="18" t="s">
        <v>50</v>
      </c>
      <c r="I191" s="21"/>
      <c r="J191" s="20" t="str">
        <f aca="false">IF(OR($I191="",$H191="LOCAL"),"",ROUND($F191*$I191,0))</f>
        <v/>
      </c>
      <c r="K191" s="22"/>
    </row>
    <row r="192" customFormat="false" ht="15" hidden="false" customHeight="false" outlineLevel="0" collapsed="false">
      <c r="A192" s="17" t="s">
        <v>658</v>
      </c>
      <c r="B192" s="17" t="s">
        <v>659</v>
      </c>
      <c r="C192" s="17" t="s">
        <v>660</v>
      </c>
      <c r="D192" s="17" t="s">
        <v>661</v>
      </c>
      <c r="E192" s="18" t="s">
        <v>68</v>
      </c>
      <c r="F192" s="19" t="n">
        <v>1</v>
      </c>
      <c r="G192" s="20" t="n">
        <v>480</v>
      </c>
      <c r="H192" s="18" t="s">
        <v>50</v>
      </c>
      <c r="I192" s="21"/>
      <c r="J192" s="20" t="str">
        <f aca="false">IF(OR($I192="",$H192="LOCAL"),"",ROUND($F192*$I192,0))</f>
        <v/>
      </c>
      <c r="K192" s="22"/>
    </row>
    <row r="193" customFormat="false" ht="15" hidden="false" customHeight="false" outlineLevel="0" collapsed="false">
      <c r="A193" s="17" t="s">
        <v>662</v>
      </c>
      <c r="B193" s="17" t="s">
        <v>663</v>
      </c>
      <c r="C193" s="17" t="s">
        <v>664</v>
      </c>
      <c r="D193" s="17"/>
      <c r="E193" s="18" t="s">
        <v>34</v>
      </c>
      <c r="F193" s="19" t="n">
        <v>90</v>
      </c>
      <c r="G193" s="20" t="n">
        <v>320</v>
      </c>
      <c r="H193" s="18" t="s">
        <v>50</v>
      </c>
      <c r="I193" s="21"/>
      <c r="J193" s="20" t="str">
        <f aca="false">IF(OR($I193="",$H193="LOCAL"),"",ROUND($F193*$I193,0))</f>
        <v/>
      </c>
      <c r="K193" s="22"/>
    </row>
    <row r="194" customFormat="false" ht="15" hidden="false" customHeight="false" outlineLevel="0" collapsed="false">
      <c r="A194" s="17" t="s">
        <v>665</v>
      </c>
      <c r="B194" s="17" t="s">
        <v>666</v>
      </c>
      <c r="C194" s="17" t="s">
        <v>667</v>
      </c>
      <c r="D194" s="17"/>
      <c r="E194" s="18" t="s">
        <v>68</v>
      </c>
      <c r="F194" s="19" t="n">
        <v>1</v>
      </c>
      <c r="G194" s="20" t="n">
        <v>90</v>
      </c>
      <c r="H194" s="18" t="s">
        <v>50</v>
      </c>
      <c r="I194" s="21"/>
      <c r="J194" s="20" t="str">
        <f aca="false">IF(OR($I194="",$H194="LOCAL"),"",ROUND($F194*$I194,0))</f>
        <v/>
      </c>
      <c r="K194" s="22"/>
    </row>
    <row r="195" customFormat="false" ht="22.35" hidden="false" customHeight="false" outlineLevel="0" collapsed="false">
      <c r="A195" s="17" t="s">
        <v>668</v>
      </c>
      <c r="B195" s="17" t="s">
        <v>669</v>
      </c>
      <c r="C195" s="17" t="s">
        <v>670</v>
      </c>
      <c r="D195" s="17"/>
      <c r="E195" s="18" t="s">
        <v>49</v>
      </c>
      <c r="F195" s="19" t="n">
        <v>1</v>
      </c>
      <c r="G195" s="20" t="n">
        <v>12</v>
      </c>
      <c r="H195" s="18" t="s">
        <v>50</v>
      </c>
      <c r="I195" s="21"/>
      <c r="J195" s="20" t="str">
        <f aca="false">IF(OR($I195="",$H195="LOCAL"),"",ROUND($F195*$I195,0))</f>
        <v/>
      </c>
      <c r="K195" s="22"/>
    </row>
    <row r="196" customFormat="false" ht="15" hidden="false" customHeight="false" outlineLevel="0" collapsed="false">
      <c r="A196" s="17" t="s">
        <v>671</v>
      </c>
      <c r="B196" s="17" t="s">
        <v>672</v>
      </c>
      <c r="C196" s="17" t="s">
        <v>673</v>
      </c>
      <c r="D196" s="17"/>
      <c r="E196" s="18" t="s">
        <v>68</v>
      </c>
      <c r="F196" s="19" t="n">
        <v>1</v>
      </c>
      <c r="G196" s="20" t="n">
        <v>40</v>
      </c>
      <c r="H196" s="18" t="s">
        <v>50</v>
      </c>
      <c r="I196" s="21"/>
      <c r="J196" s="20" t="str">
        <f aca="false">IF(OR($I196="",$H196="LOCAL"),"",ROUND($F196*$I196,0))</f>
        <v/>
      </c>
      <c r="K196" s="22"/>
    </row>
    <row r="197" customFormat="false" ht="15" hidden="false" customHeight="false" outlineLevel="0" collapsed="false">
      <c r="A197" s="17" t="s">
        <v>674</v>
      </c>
      <c r="B197" s="17" t="s">
        <v>675</v>
      </c>
      <c r="C197" s="17" t="s">
        <v>676</v>
      </c>
      <c r="D197" s="17"/>
      <c r="E197" s="18" t="s">
        <v>68</v>
      </c>
      <c r="F197" s="19" t="n">
        <v>1</v>
      </c>
      <c r="G197" s="20" t="n">
        <v>60</v>
      </c>
      <c r="H197" s="18" t="s">
        <v>50</v>
      </c>
      <c r="I197" s="21"/>
      <c r="J197" s="20" t="str">
        <f aca="false">IF(OR($I197="",$H197="LOCAL"),"",ROUND($F197*$I197,0))</f>
        <v/>
      </c>
      <c r="K197" s="22"/>
    </row>
    <row r="198" customFormat="false" ht="15" hidden="false" customHeight="false" outlineLevel="0" collapsed="false">
      <c r="A198" s="17" t="s">
        <v>677</v>
      </c>
      <c r="B198" s="17" t="s">
        <v>678</v>
      </c>
      <c r="C198" s="17" t="s">
        <v>679</v>
      </c>
      <c r="D198" s="17"/>
      <c r="E198" s="18" t="s">
        <v>68</v>
      </c>
      <c r="F198" s="19" t="n">
        <v>1</v>
      </c>
      <c r="G198" s="20" t="n">
        <v>80</v>
      </c>
      <c r="H198" s="18" t="s">
        <v>50</v>
      </c>
      <c r="I198" s="21"/>
      <c r="J198" s="20" t="str">
        <f aca="false">IF(OR($I198="",$H198="LOCAL"),"",ROUND($F198*$I198,0))</f>
        <v/>
      </c>
      <c r="K198" s="22"/>
    </row>
    <row r="199" customFormat="false" ht="15" hidden="false" customHeight="false" outlineLevel="0" collapsed="false">
      <c r="A199" s="15" t="s">
        <v>680</v>
      </c>
      <c r="B199" s="15" t="s">
        <v>681</v>
      </c>
      <c r="C199" s="16"/>
      <c r="D199" s="16"/>
      <c r="E199" s="16"/>
      <c r="F199" s="16"/>
      <c r="G199" s="16"/>
      <c r="H199" s="16"/>
      <c r="I199" s="16"/>
      <c r="J199" s="16"/>
      <c r="K199" s="16"/>
    </row>
    <row r="200" customFormat="false" ht="15" hidden="false" customHeight="false" outlineLevel="0" collapsed="false">
      <c r="A200" s="17" t="s">
        <v>682</v>
      </c>
      <c r="B200" s="17" t="s">
        <v>683</v>
      </c>
      <c r="C200" s="17" t="s">
        <v>684</v>
      </c>
      <c r="D200" s="17" t="s">
        <v>685</v>
      </c>
      <c r="E200" s="18" t="s">
        <v>49</v>
      </c>
      <c r="F200" s="19" t="n">
        <v>8</v>
      </c>
      <c r="G200" s="20" t="n">
        <v>40</v>
      </c>
      <c r="H200" s="18" t="s">
        <v>50</v>
      </c>
      <c r="I200" s="21"/>
      <c r="J200" s="20" t="str">
        <f aca="false">IF(OR($I200="",$H200="LOCAL"),"",ROUND($F200*$I200,0))</f>
        <v/>
      </c>
      <c r="K200" s="22"/>
    </row>
    <row r="201" customFormat="false" ht="15" hidden="false" customHeight="false" outlineLevel="0" collapsed="false">
      <c r="A201" s="17" t="s">
        <v>686</v>
      </c>
      <c r="B201" s="17" t="s">
        <v>687</v>
      </c>
      <c r="C201" s="17" t="s">
        <v>688</v>
      </c>
      <c r="D201" s="17" t="s">
        <v>689</v>
      </c>
      <c r="E201" s="18" t="s">
        <v>49</v>
      </c>
      <c r="F201" s="19" t="n">
        <v>15</v>
      </c>
      <c r="G201" s="20" t="n">
        <v>30</v>
      </c>
      <c r="H201" s="18" t="s">
        <v>50</v>
      </c>
      <c r="I201" s="21"/>
      <c r="J201" s="20" t="str">
        <f aca="false">IF(OR($I201="",$H201="LOCAL"),"",ROUND($F201*$I201,0))</f>
        <v/>
      </c>
      <c r="K201" s="22"/>
    </row>
    <row r="202" customFormat="false" ht="15" hidden="false" customHeight="false" outlineLevel="0" collapsed="false">
      <c r="A202" s="17" t="s">
        <v>690</v>
      </c>
      <c r="B202" s="17" t="s">
        <v>691</v>
      </c>
      <c r="C202" s="17" t="s">
        <v>688</v>
      </c>
      <c r="D202" s="17"/>
      <c r="E202" s="18" t="s">
        <v>49</v>
      </c>
      <c r="F202" s="19" t="n">
        <v>12</v>
      </c>
      <c r="G202" s="20" t="n">
        <v>24</v>
      </c>
      <c r="H202" s="18" t="s">
        <v>50</v>
      </c>
      <c r="I202" s="21"/>
      <c r="J202" s="20" t="str">
        <f aca="false">IF(OR($I202="",$H202="LOCAL"),"",ROUND($F202*$I202,0))</f>
        <v/>
      </c>
      <c r="K202" s="22"/>
    </row>
    <row r="203" customFormat="false" ht="15" hidden="false" customHeight="false" outlineLevel="0" collapsed="false">
      <c r="A203" s="17" t="s">
        <v>692</v>
      </c>
      <c r="B203" s="17" t="s">
        <v>693</v>
      </c>
      <c r="C203" s="17" t="s">
        <v>694</v>
      </c>
      <c r="D203" s="17" t="s">
        <v>695</v>
      </c>
      <c r="E203" s="18" t="s">
        <v>49</v>
      </c>
      <c r="F203" s="19" t="n">
        <v>10</v>
      </c>
      <c r="G203" s="20" t="n">
        <v>40</v>
      </c>
      <c r="H203" s="18" t="s">
        <v>50</v>
      </c>
      <c r="I203" s="21"/>
      <c r="J203" s="20" t="str">
        <f aca="false">IF(OR($I203="",$H203="LOCAL"),"",ROUND($F203*$I203,0))</f>
        <v/>
      </c>
      <c r="K203" s="22"/>
    </row>
    <row r="204" customFormat="false" ht="15" hidden="false" customHeight="false" outlineLevel="0" collapsed="false">
      <c r="A204" s="17" t="s">
        <v>696</v>
      </c>
      <c r="B204" s="17" t="s">
        <v>697</v>
      </c>
      <c r="C204" s="17" t="s">
        <v>698</v>
      </c>
      <c r="D204" s="17"/>
      <c r="E204" s="18" t="s">
        <v>49</v>
      </c>
      <c r="F204" s="19" t="n">
        <v>12</v>
      </c>
      <c r="G204" s="20" t="n">
        <v>24</v>
      </c>
      <c r="H204" s="18" t="s">
        <v>50</v>
      </c>
      <c r="I204" s="21"/>
      <c r="J204" s="20" t="str">
        <f aca="false">IF(OR($I204="",$H204="LOCAL"),"",ROUND($F204*$I204,0))</f>
        <v/>
      </c>
      <c r="K204" s="22"/>
    </row>
    <row r="205" customFormat="false" ht="15" hidden="false" customHeight="false" outlineLevel="0" collapsed="false">
      <c r="A205" s="17" t="s">
        <v>699</v>
      </c>
      <c r="B205" s="17" t="s">
        <v>700</v>
      </c>
      <c r="C205" s="17" t="s">
        <v>701</v>
      </c>
      <c r="D205" s="17"/>
      <c r="E205" s="18" t="s">
        <v>49</v>
      </c>
      <c r="F205" s="19" t="n">
        <v>1</v>
      </c>
      <c r="G205" s="20" t="n">
        <v>1</v>
      </c>
      <c r="H205" s="18" t="s">
        <v>50</v>
      </c>
      <c r="I205" s="21"/>
      <c r="J205" s="20" t="str">
        <f aca="false">IF(OR($I205="",$H205="LOCAL"),"",ROUND($F205*$I205,0))</f>
        <v/>
      </c>
      <c r="K205" s="22"/>
    </row>
    <row r="206" customFormat="false" ht="15" hidden="false" customHeight="false" outlineLevel="0" collapsed="false">
      <c r="A206" s="17" t="s">
        <v>702</v>
      </c>
      <c r="B206" s="17" t="s">
        <v>703</v>
      </c>
      <c r="C206" s="17" t="s">
        <v>704</v>
      </c>
      <c r="D206" s="17"/>
      <c r="E206" s="18" t="s">
        <v>68</v>
      </c>
      <c r="F206" s="19" t="n">
        <v>1</v>
      </c>
      <c r="G206" s="20" t="n">
        <v>6</v>
      </c>
      <c r="H206" s="18" t="s">
        <v>50</v>
      </c>
      <c r="I206" s="21"/>
      <c r="J206" s="20" t="str">
        <f aca="false">IF(OR($I206="",$H206="LOCAL"),"",ROUND($F206*$I206,0))</f>
        <v/>
      </c>
      <c r="K206" s="22"/>
    </row>
    <row r="207" customFormat="false" ht="15" hidden="false" customHeight="false" outlineLevel="0" collapsed="false">
      <c r="A207" s="17" t="s">
        <v>705</v>
      </c>
      <c r="B207" s="17" t="s">
        <v>706</v>
      </c>
      <c r="C207" s="17" t="s">
        <v>707</v>
      </c>
      <c r="D207" s="17"/>
      <c r="E207" s="18" t="s">
        <v>49</v>
      </c>
      <c r="F207" s="19" t="n">
        <v>1</v>
      </c>
      <c r="G207" s="20" t="n">
        <v>1</v>
      </c>
      <c r="H207" s="18" t="s">
        <v>50</v>
      </c>
      <c r="I207" s="21"/>
      <c r="J207" s="20" t="str">
        <f aca="false">IF(OR($I207="",$H207="LOCAL"),"",ROUND($F207*$I207,0))</f>
        <v/>
      </c>
      <c r="K207" s="22"/>
    </row>
    <row r="208" customFormat="false" ht="15" hidden="false" customHeight="false" outlineLevel="0" collapsed="false">
      <c r="A208" s="17" t="s">
        <v>708</v>
      </c>
      <c r="B208" s="17" t="s">
        <v>709</v>
      </c>
      <c r="C208" s="17" t="s">
        <v>710</v>
      </c>
      <c r="D208" s="17"/>
      <c r="E208" s="18" t="s">
        <v>68</v>
      </c>
      <c r="F208" s="19" t="n">
        <v>1</v>
      </c>
      <c r="G208" s="23"/>
      <c r="H208" s="18" t="s">
        <v>50</v>
      </c>
      <c r="I208" s="21"/>
      <c r="J208" s="20" t="str">
        <f aca="false">IF(OR($I208="",$H208="LOCAL"),"",ROUND($F208*$I208,0))</f>
        <v/>
      </c>
      <c r="K208" s="22"/>
    </row>
    <row r="209" customFormat="false" ht="15" hidden="false" customHeight="false" outlineLevel="0" collapsed="false">
      <c r="A209" s="15" t="s">
        <v>711</v>
      </c>
      <c r="B209" s="15" t="s">
        <v>712</v>
      </c>
      <c r="C209" s="16"/>
      <c r="D209" s="16"/>
      <c r="E209" s="16"/>
      <c r="F209" s="16"/>
      <c r="G209" s="16"/>
      <c r="H209" s="16"/>
      <c r="I209" s="16"/>
      <c r="J209" s="16"/>
      <c r="K209" s="16"/>
    </row>
    <row r="210" customFormat="false" ht="22.35" hidden="false" customHeight="false" outlineLevel="0" collapsed="false">
      <c r="A210" s="17" t="s">
        <v>713</v>
      </c>
      <c r="B210" s="17" t="s">
        <v>714</v>
      </c>
      <c r="C210" s="17" t="s">
        <v>715</v>
      </c>
      <c r="D210" s="17" t="s">
        <v>716</v>
      </c>
      <c r="E210" s="18" t="s">
        <v>49</v>
      </c>
      <c r="F210" s="19" t="n">
        <v>1</v>
      </c>
      <c r="G210" s="20" t="n">
        <v>3</v>
      </c>
      <c r="H210" s="18" t="s">
        <v>50</v>
      </c>
      <c r="I210" s="21"/>
      <c r="J210" s="20" t="str">
        <f aca="false">IF(OR($I210="",$H210="LOCAL"),"",ROUND($F210*$I210,0))</f>
        <v/>
      </c>
      <c r="K210" s="22"/>
    </row>
    <row r="211" customFormat="false" ht="15" hidden="false" customHeight="false" outlineLevel="0" collapsed="false">
      <c r="A211" s="17" t="s">
        <v>717</v>
      </c>
      <c r="B211" s="17" t="s">
        <v>718</v>
      </c>
      <c r="C211" s="17" t="s">
        <v>719</v>
      </c>
      <c r="D211" s="17"/>
      <c r="E211" s="18" t="s">
        <v>68</v>
      </c>
      <c r="F211" s="19" t="n">
        <v>1</v>
      </c>
      <c r="G211" s="20" t="n">
        <v>6</v>
      </c>
      <c r="H211" s="18" t="s">
        <v>50</v>
      </c>
      <c r="I211" s="21"/>
      <c r="J211" s="20" t="str">
        <f aca="false">IF(OR($I211="",$H211="LOCAL"),"",ROUND($F211*$I211,0))</f>
        <v/>
      </c>
      <c r="K211" s="22"/>
    </row>
    <row r="212" customFormat="false" ht="15" hidden="false" customHeight="false" outlineLevel="0" collapsed="false">
      <c r="A212" s="17" t="s">
        <v>720</v>
      </c>
      <c r="B212" s="17" t="s">
        <v>721</v>
      </c>
      <c r="C212" s="17" t="s">
        <v>722</v>
      </c>
      <c r="D212" s="17" t="s">
        <v>723</v>
      </c>
      <c r="E212" s="18" t="s">
        <v>49</v>
      </c>
      <c r="F212" s="19" t="n">
        <v>8</v>
      </c>
      <c r="G212" s="20" t="n">
        <v>2</v>
      </c>
      <c r="H212" s="18" t="s">
        <v>50</v>
      </c>
      <c r="I212" s="21"/>
      <c r="J212" s="20" t="str">
        <f aca="false">IF(OR($I212="",$H212="LOCAL"),"",ROUND($F212*$I212,0))</f>
        <v/>
      </c>
      <c r="K212" s="22"/>
    </row>
    <row r="213" customFormat="false" ht="15" hidden="false" customHeight="false" outlineLevel="0" collapsed="false">
      <c r="A213" s="17" t="s">
        <v>724</v>
      </c>
      <c r="B213" s="17" t="s">
        <v>725</v>
      </c>
      <c r="C213" s="17" t="s">
        <v>726</v>
      </c>
      <c r="D213" s="17"/>
      <c r="E213" s="18" t="s">
        <v>49</v>
      </c>
      <c r="F213" s="19" t="n">
        <v>6</v>
      </c>
      <c r="G213" s="20" t="n">
        <v>2</v>
      </c>
      <c r="H213" s="18" t="s">
        <v>50</v>
      </c>
      <c r="I213" s="21"/>
      <c r="J213" s="20" t="str">
        <f aca="false">IF(OR($I213="",$H213="LOCAL"),"",ROUND($F213*$I213,0))</f>
        <v/>
      </c>
      <c r="K213" s="22"/>
    </row>
    <row r="214" customFormat="false" ht="15" hidden="false" customHeight="false" outlineLevel="0" collapsed="false">
      <c r="A214" s="17" t="s">
        <v>727</v>
      </c>
      <c r="B214" s="17" t="s">
        <v>728</v>
      </c>
      <c r="C214" s="17" t="s">
        <v>729</v>
      </c>
      <c r="D214" s="17"/>
      <c r="E214" s="18" t="s">
        <v>49</v>
      </c>
      <c r="F214" s="19" t="n">
        <v>4</v>
      </c>
      <c r="G214" s="20" t="n">
        <v>1</v>
      </c>
      <c r="H214" s="18" t="s">
        <v>50</v>
      </c>
      <c r="I214" s="21"/>
      <c r="J214" s="20" t="str">
        <f aca="false">IF(OR($I214="",$H214="LOCAL"),"",ROUND($F214*$I214,0))</f>
        <v/>
      </c>
      <c r="K214" s="22"/>
    </row>
    <row r="215" customFormat="false" ht="15" hidden="false" customHeight="false" outlineLevel="0" collapsed="false">
      <c r="A215" s="17" t="s">
        <v>730</v>
      </c>
      <c r="B215" s="17" t="s">
        <v>731</v>
      </c>
      <c r="C215" s="17" t="s">
        <v>732</v>
      </c>
      <c r="D215" s="17"/>
      <c r="E215" s="18" t="s">
        <v>49</v>
      </c>
      <c r="F215" s="19" t="n">
        <v>6</v>
      </c>
      <c r="G215" s="20" t="n">
        <v>1</v>
      </c>
      <c r="H215" s="18" t="s">
        <v>50</v>
      </c>
      <c r="I215" s="21"/>
      <c r="J215" s="20" t="str">
        <f aca="false">IF(OR($I215="",$H215="LOCAL"),"",ROUND($F215*$I215,0))</f>
        <v/>
      </c>
      <c r="K215" s="22"/>
    </row>
    <row r="216" customFormat="false" ht="15" hidden="false" customHeight="false" outlineLevel="0" collapsed="false">
      <c r="A216" s="17" t="s">
        <v>733</v>
      </c>
      <c r="B216" s="17" t="s">
        <v>734</v>
      </c>
      <c r="C216" s="17" t="s">
        <v>735</v>
      </c>
      <c r="D216" s="17"/>
      <c r="E216" s="18" t="s">
        <v>49</v>
      </c>
      <c r="F216" s="19" t="n">
        <v>3</v>
      </c>
      <c r="G216" s="20" t="n">
        <v>1</v>
      </c>
      <c r="H216" s="18" t="s">
        <v>50</v>
      </c>
      <c r="I216" s="21"/>
      <c r="J216" s="20" t="str">
        <f aca="false">IF(OR($I216="",$H216="LOCAL"),"",ROUND($F216*$I216,0))</f>
        <v/>
      </c>
      <c r="K216" s="22"/>
    </row>
    <row r="217" customFormat="false" ht="15" hidden="false" customHeight="false" outlineLevel="0" collapsed="false">
      <c r="A217" s="17" t="s">
        <v>736</v>
      </c>
      <c r="B217" s="17" t="s">
        <v>737</v>
      </c>
      <c r="C217" s="17" t="s">
        <v>738</v>
      </c>
      <c r="D217" s="17"/>
      <c r="E217" s="18" t="s">
        <v>49</v>
      </c>
      <c r="F217" s="19" t="n">
        <v>3</v>
      </c>
      <c r="G217" s="20" t="n">
        <v>1</v>
      </c>
      <c r="H217" s="18" t="s">
        <v>50</v>
      </c>
      <c r="I217" s="21"/>
      <c r="J217" s="20" t="str">
        <f aca="false">IF(OR($I217="",$H217="LOCAL"),"",ROUND($F217*$I217,0))</f>
        <v/>
      </c>
      <c r="K217" s="22"/>
    </row>
    <row r="218" customFormat="false" ht="15" hidden="false" customHeight="false" outlineLevel="0" collapsed="false">
      <c r="A218" s="17" t="s">
        <v>739</v>
      </c>
      <c r="B218" s="17" t="s">
        <v>740</v>
      </c>
      <c r="C218" s="17" t="s">
        <v>741</v>
      </c>
      <c r="D218" s="17" t="s">
        <v>742</v>
      </c>
      <c r="E218" s="18" t="s">
        <v>49</v>
      </c>
      <c r="F218" s="19" t="n">
        <v>6</v>
      </c>
      <c r="G218" s="20" t="n">
        <v>2</v>
      </c>
      <c r="H218" s="18" t="s">
        <v>50</v>
      </c>
      <c r="I218" s="21"/>
      <c r="J218" s="20" t="str">
        <f aca="false">IF(OR($I218="",$H218="LOCAL"),"",ROUND($F218*$I218,0))</f>
        <v/>
      </c>
      <c r="K218" s="22"/>
    </row>
    <row r="219" customFormat="false" ht="15" hidden="false" customHeight="false" outlineLevel="0" collapsed="false">
      <c r="A219" s="17" t="s">
        <v>743</v>
      </c>
      <c r="B219" s="17" t="s">
        <v>744</v>
      </c>
      <c r="C219" s="17" t="s">
        <v>745</v>
      </c>
      <c r="D219" s="17"/>
      <c r="E219" s="18" t="s">
        <v>49</v>
      </c>
      <c r="F219" s="19" t="n">
        <v>11</v>
      </c>
      <c r="G219" s="20" t="n">
        <v>1</v>
      </c>
      <c r="H219" s="18" t="s">
        <v>50</v>
      </c>
      <c r="I219" s="21"/>
      <c r="J219" s="20" t="str">
        <f aca="false">IF(OR($I219="",$H219="LOCAL"),"",ROUND($F219*$I219,0))</f>
        <v/>
      </c>
      <c r="K219" s="22"/>
    </row>
    <row r="220" customFormat="false" ht="15" hidden="false" customHeight="false" outlineLevel="0" collapsed="false">
      <c r="A220" s="17" t="s">
        <v>746</v>
      </c>
      <c r="B220" s="17" t="s">
        <v>747</v>
      </c>
      <c r="C220" s="17" t="s">
        <v>748</v>
      </c>
      <c r="D220" s="17"/>
      <c r="E220" s="18" t="s">
        <v>49</v>
      </c>
      <c r="F220" s="19" t="n">
        <v>1</v>
      </c>
      <c r="G220" s="20" t="n">
        <v>1</v>
      </c>
      <c r="H220" s="18" t="s">
        <v>50</v>
      </c>
      <c r="I220" s="21"/>
      <c r="J220" s="20" t="str">
        <f aca="false">IF(OR($I220="",$H220="LOCAL"),"",ROUND($F220*$I220,0))</f>
        <v/>
      </c>
      <c r="K220" s="22"/>
    </row>
    <row r="221" customFormat="false" ht="15" hidden="false" customHeight="false" outlineLevel="0" collapsed="false">
      <c r="A221" s="17" t="s">
        <v>749</v>
      </c>
      <c r="B221" s="17" t="s">
        <v>750</v>
      </c>
      <c r="C221" s="17" t="s">
        <v>751</v>
      </c>
      <c r="D221" s="17"/>
      <c r="E221" s="18" t="s">
        <v>49</v>
      </c>
      <c r="F221" s="19" t="n">
        <v>3</v>
      </c>
      <c r="G221" s="20" t="n">
        <v>1</v>
      </c>
      <c r="H221" s="18" t="s">
        <v>50</v>
      </c>
      <c r="I221" s="21"/>
      <c r="J221" s="20" t="str">
        <f aca="false">IF(OR($I221="",$H221="LOCAL"),"",ROUND($F221*$I221,0))</f>
        <v/>
      </c>
      <c r="K221" s="22"/>
    </row>
    <row r="222" customFormat="false" ht="15" hidden="false" customHeight="false" outlineLevel="0" collapsed="false">
      <c r="A222" s="17" t="s">
        <v>752</v>
      </c>
      <c r="B222" s="17" t="s">
        <v>753</v>
      </c>
      <c r="C222" s="17" t="s">
        <v>754</v>
      </c>
      <c r="D222" s="17"/>
      <c r="E222" s="18" t="s">
        <v>55</v>
      </c>
      <c r="F222" s="19" t="n">
        <v>6</v>
      </c>
      <c r="G222" s="20" t="n">
        <v>6</v>
      </c>
      <c r="H222" s="18" t="s">
        <v>50</v>
      </c>
      <c r="I222" s="21"/>
      <c r="J222" s="20" t="str">
        <f aca="false">IF(OR($I222="",$H222="LOCAL"),"",ROUND($F222*$I222,0))</f>
        <v/>
      </c>
      <c r="K222" s="22"/>
    </row>
    <row r="223" customFormat="false" ht="15" hidden="false" customHeight="false" outlineLevel="0" collapsed="false">
      <c r="A223" s="17" t="s">
        <v>755</v>
      </c>
      <c r="B223" s="17" t="s">
        <v>756</v>
      </c>
      <c r="C223" s="17" t="s">
        <v>757</v>
      </c>
      <c r="D223" s="17"/>
      <c r="E223" s="18" t="s">
        <v>49</v>
      </c>
      <c r="F223" s="19" t="n">
        <v>1</v>
      </c>
      <c r="G223" s="20" t="n">
        <v>2</v>
      </c>
      <c r="H223" s="18" t="s">
        <v>50</v>
      </c>
      <c r="I223" s="21"/>
      <c r="J223" s="20" t="str">
        <f aca="false">IF(OR($I223="",$H223="LOCAL"),"",ROUND($F223*$I223,0))</f>
        <v/>
      </c>
      <c r="K223" s="22"/>
    </row>
    <row r="224" customFormat="false" ht="15" hidden="false" customHeight="false" outlineLevel="0" collapsed="false">
      <c r="A224" s="17" t="s">
        <v>758</v>
      </c>
      <c r="B224" s="17" t="s">
        <v>759</v>
      </c>
      <c r="C224" s="17" t="s">
        <v>760</v>
      </c>
      <c r="D224" s="17"/>
      <c r="E224" s="18" t="s">
        <v>49</v>
      </c>
      <c r="F224" s="19" t="n">
        <v>1</v>
      </c>
      <c r="G224" s="20" t="n">
        <v>1</v>
      </c>
      <c r="H224" s="18" t="s">
        <v>50</v>
      </c>
      <c r="I224" s="21"/>
      <c r="J224" s="20" t="str">
        <f aca="false">IF(OR($I224="",$H224="LOCAL"),"",ROUND($F224*$I224,0))</f>
        <v/>
      </c>
      <c r="K224" s="22"/>
    </row>
    <row r="225" customFormat="false" ht="15" hidden="false" customHeight="false" outlineLevel="0" collapsed="false">
      <c r="A225" s="17" t="s">
        <v>761</v>
      </c>
      <c r="B225" s="17" t="s">
        <v>762</v>
      </c>
      <c r="C225" s="17" t="s">
        <v>763</v>
      </c>
      <c r="D225" s="17" t="s">
        <v>764</v>
      </c>
      <c r="E225" s="18" t="s">
        <v>49</v>
      </c>
      <c r="F225" s="19" t="n">
        <v>6</v>
      </c>
      <c r="G225" s="20" t="n">
        <v>6</v>
      </c>
      <c r="H225" s="18" t="s">
        <v>50</v>
      </c>
      <c r="I225" s="21"/>
      <c r="J225" s="20" t="str">
        <f aca="false">IF(OR($I225="",$H225="LOCAL"),"",ROUND($F225*$I225,0))</f>
        <v/>
      </c>
      <c r="K225" s="22"/>
    </row>
    <row r="226" customFormat="false" ht="15" hidden="false" customHeight="false" outlineLevel="0" collapsed="false">
      <c r="A226" s="17" t="s">
        <v>765</v>
      </c>
      <c r="B226" s="17" t="s">
        <v>766</v>
      </c>
      <c r="C226" s="17" t="s">
        <v>763</v>
      </c>
      <c r="D226" s="17" t="s">
        <v>767</v>
      </c>
      <c r="E226" s="18" t="s">
        <v>49</v>
      </c>
      <c r="F226" s="19" t="n">
        <v>3</v>
      </c>
      <c r="G226" s="20" t="n">
        <v>2</v>
      </c>
      <c r="H226" s="18" t="s">
        <v>50</v>
      </c>
      <c r="I226" s="21"/>
      <c r="J226" s="20" t="str">
        <f aca="false">IF(OR($I226="",$H226="LOCAL"),"",ROUND($F226*$I226,0))</f>
        <v/>
      </c>
      <c r="K226" s="22"/>
    </row>
    <row r="227" customFormat="false" ht="15" hidden="false" customHeight="false" outlineLevel="0" collapsed="false">
      <c r="A227" s="17" t="s">
        <v>768</v>
      </c>
      <c r="B227" s="17" t="s">
        <v>769</v>
      </c>
      <c r="C227" s="17" t="s">
        <v>770</v>
      </c>
      <c r="D227" s="17"/>
      <c r="E227" s="18" t="s">
        <v>49</v>
      </c>
      <c r="F227" s="19" t="n">
        <v>1</v>
      </c>
      <c r="G227" s="20" t="n">
        <v>8</v>
      </c>
      <c r="H227" s="18" t="s">
        <v>50</v>
      </c>
      <c r="I227" s="21"/>
      <c r="J227" s="20" t="str">
        <f aca="false">IF(OR($I227="",$H227="LOCAL"),"",ROUND($F227*$I227,0))</f>
        <v/>
      </c>
      <c r="K227" s="22"/>
    </row>
    <row r="228" customFormat="false" ht="15" hidden="false" customHeight="false" outlineLevel="0" collapsed="false">
      <c r="A228" s="17" t="s">
        <v>771</v>
      </c>
      <c r="B228" s="17" t="s">
        <v>772</v>
      </c>
      <c r="C228" s="17" t="s">
        <v>773</v>
      </c>
      <c r="D228" s="17" t="s">
        <v>774</v>
      </c>
      <c r="E228" s="18" t="s">
        <v>49</v>
      </c>
      <c r="F228" s="19" t="n">
        <v>4</v>
      </c>
      <c r="G228" s="20" t="n">
        <v>2</v>
      </c>
      <c r="H228" s="18" t="s">
        <v>50</v>
      </c>
      <c r="I228" s="21"/>
      <c r="J228" s="20" t="str">
        <f aca="false">IF(OR($I228="",$H228="LOCAL"),"",ROUND($F228*$I228,0))</f>
        <v/>
      </c>
      <c r="K228" s="22"/>
    </row>
    <row r="229" customFormat="false" ht="15" hidden="false" customHeight="false" outlineLevel="0" collapsed="false">
      <c r="A229" s="17" t="s">
        <v>775</v>
      </c>
      <c r="B229" s="17" t="s">
        <v>776</v>
      </c>
      <c r="C229" s="17" t="s">
        <v>777</v>
      </c>
      <c r="D229" s="17"/>
      <c r="E229" s="18" t="s">
        <v>55</v>
      </c>
      <c r="F229" s="19" t="n">
        <v>1</v>
      </c>
      <c r="G229" s="20" t="n">
        <v>25</v>
      </c>
      <c r="H229" s="18" t="s">
        <v>50</v>
      </c>
      <c r="I229" s="21"/>
      <c r="J229" s="20" t="str">
        <f aca="false">IF(OR($I229="",$H229="LOCAL"),"",ROUND($F229*$I229,0))</f>
        <v/>
      </c>
      <c r="K229" s="22"/>
    </row>
    <row r="230" customFormat="false" ht="15" hidden="false" customHeight="false" outlineLevel="0" collapsed="false">
      <c r="A230" s="17" t="s">
        <v>778</v>
      </c>
      <c r="B230" s="17" t="s">
        <v>779</v>
      </c>
      <c r="C230" s="17" t="s">
        <v>780</v>
      </c>
      <c r="D230" s="17"/>
      <c r="E230" s="18" t="s">
        <v>68</v>
      </c>
      <c r="F230" s="19" t="n">
        <v>1</v>
      </c>
      <c r="G230" s="20" t="n">
        <v>45</v>
      </c>
      <c r="H230" s="18" t="s">
        <v>50</v>
      </c>
      <c r="I230" s="21"/>
      <c r="J230" s="20" t="str">
        <f aca="false">IF(OR($I230="",$H230="LOCAL"),"",ROUND($F230*$I230,0))</f>
        <v/>
      </c>
      <c r="K230" s="22"/>
    </row>
    <row r="231" customFormat="false" ht="15" hidden="false" customHeight="false" outlineLevel="0" collapsed="false">
      <c r="A231" s="17" t="s">
        <v>781</v>
      </c>
      <c r="B231" s="17" t="s">
        <v>782</v>
      </c>
      <c r="C231" s="17"/>
      <c r="D231" s="17"/>
      <c r="E231" s="18" t="s">
        <v>49</v>
      </c>
      <c r="F231" s="19" t="n">
        <v>2</v>
      </c>
      <c r="G231" s="20" t="n">
        <v>2</v>
      </c>
      <c r="H231" s="18" t="s">
        <v>50</v>
      </c>
      <c r="I231" s="21"/>
      <c r="J231" s="20" t="str">
        <f aca="false">IF(OR($I231="",$H231="LOCAL"),"",ROUND($F231*$I231,0))</f>
        <v/>
      </c>
      <c r="K231" s="22"/>
    </row>
    <row r="232" customFormat="false" ht="15" hidden="false" customHeight="false" outlineLevel="0" collapsed="false">
      <c r="A232" s="17" t="s">
        <v>783</v>
      </c>
      <c r="B232" s="17" t="s">
        <v>784</v>
      </c>
      <c r="C232" s="17" t="s">
        <v>785</v>
      </c>
      <c r="D232" s="17"/>
      <c r="E232" s="18" t="s">
        <v>68</v>
      </c>
      <c r="F232" s="19" t="n">
        <v>1</v>
      </c>
      <c r="G232" s="23"/>
      <c r="H232" s="18" t="s">
        <v>50</v>
      </c>
      <c r="I232" s="21"/>
      <c r="J232" s="20" t="str">
        <f aca="false">IF(OR($I232="",$H232="LOCAL"),"",ROUND($F232*$I232,0))</f>
        <v/>
      </c>
      <c r="K232" s="22"/>
    </row>
    <row r="233" customFormat="false" ht="15" hidden="false" customHeight="false" outlineLevel="0" collapsed="false">
      <c r="A233" s="15" t="s">
        <v>786</v>
      </c>
      <c r="B233" s="15" t="s">
        <v>787</v>
      </c>
      <c r="C233" s="16"/>
      <c r="D233" s="16"/>
      <c r="E233" s="16"/>
      <c r="F233" s="16"/>
      <c r="G233" s="16"/>
      <c r="H233" s="16"/>
      <c r="I233" s="16"/>
      <c r="J233" s="16"/>
      <c r="K233" s="16"/>
    </row>
    <row r="234" customFormat="false" ht="15" hidden="false" customHeight="false" outlineLevel="0" collapsed="false">
      <c r="A234" s="17" t="s">
        <v>788</v>
      </c>
      <c r="B234" s="17" t="s">
        <v>789</v>
      </c>
      <c r="C234" s="17" t="s">
        <v>790</v>
      </c>
      <c r="D234" s="17" t="s">
        <v>791</v>
      </c>
      <c r="E234" s="18" t="s">
        <v>49</v>
      </c>
      <c r="F234" s="19" t="n">
        <v>1</v>
      </c>
      <c r="G234" s="20" t="n">
        <v>12</v>
      </c>
      <c r="H234" s="18" t="s">
        <v>50</v>
      </c>
      <c r="I234" s="21"/>
      <c r="J234" s="20" t="str">
        <f aca="false">IF(OR($I234="",$H234="LOCAL"),"",ROUND($F234*$I234,0))</f>
        <v/>
      </c>
      <c r="K234" s="22"/>
    </row>
    <row r="235" customFormat="false" ht="15" hidden="false" customHeight="false" outlineLevel="0" collapsed="false">
      <c r="A235" s="17" t="s">
        <v>792</v>
      </c>
      <c r="B235" s="17" t="s">
        <v>793</v>
      </c>
      <c r="C235" s="17" t="s">
        <v>794</v>
      </c>
      <c r="D235" s="17"/>
      <c r="E235" s="18" t="s">
        <v>49</v>
      </c>
      <c r="F235" s="19" t="n">
        <v>1</v>
      </c>
      <c r="G235" s="20" t="n">
        <v>14</v>
      </c>
      <c r="H235" s="18" t="s">
        <v>50</v>
      </c>
      <c r="I235" s="21"/>
      <c r="J235" s="20" t="str">
        <f aca="false">IF(OR($I235="",$H235="LOCAL"),"",ROUND($F235*$I235,0))</f>
        <v/>
      </c>
      <c r="K235" s="22"/>
    </row>
    <row r="236" customFormat="false" ht="15" hidden="false" customHeight="false" outlineLevel="0" collapsed="false">
      <c r="A236" s="17" t="s">
        <v>795</v>
      </c>
      <c r="B236" s="17" t="s">
        <v>796</v>
      </c>
      <c r="C236" s="17"/>
      <c r="D236" s="17"/>
      <c r="E236" s="18" t="s">
        <v>49</v>
      </c>
      <c r="F236" s="19" t="n">
        <v>1</v>
      </c>
      <c r="G236" s="20" t="n">
        <v>12</v>
      </c>
      <c r="H236" s="18" t="s">
        <v>50</v>
      </c>
      <c r="I236" s="21"/>
      <c r="J236" s="20" t="str">
        <f aca="false">IF(OR($I236="",$H236="LOCAL"),"",ROUND($F236*$I236,0))</f>
        <v/>
      </c>
      <c r="K236" s="22"/>
    </row>
    <row r="237" customFormat="false" ht="15" hidden="false" customHeight="false" outlineLevel="0" collapsed="false">
      <c r="A237" s="17" t="s">
        <v>797</v>
      </c>
      <c r="B237" s="17" t="s">
        <v>798</v>
      </c>
      <c r="C237" s="17"/>
      <c r="D237" s="17"/>
      <c r="E237" s="18" t="s">
        <v>49</v>
      </c>
      <c r="F237" s="19" t="n">
        <v>1</v>
      </c>
      <c r="G237" s="20" t="n">
        <v>15</v>
      </c>
      <c r="H237" s="18" t="s">
        <v>50</v>
      </c>
      <c r="I237" s="21"/>
      <c r="J237" s="20" t="str">
        <f aca="false">IF(OR($I237="",$H237="LOCAL"),"",ROUND($F237*$I237,0))</f>
        <v/>
      </c>
      <c r="K237" s="22"/>
    </row>
    <row r="238" customFormat="false" ht="15" hidden="false" customHeight="false" outlineLevel="0" collapsed="false">
      <c r="A238" s="17" t="s">
        <v>799</v>
      </c>
      <c r="B238" s="17" t="s">
        <v>800</v>
      </c>
      <c r="C238" s="17"/>
      <c r="D238" s="17"/>
      <c r="E238" s="18" t="s">
        <v>49</v>
      </c>
      <c r="F238" s="19" t="n">
        <v>1</v>
      </c>
      <c r="G238" s="20" t="n">
        <v>12</v>
      </c>
      <c r="H238" s="18" t="s">
        <v>50</v>
      </c>
      <c r="I238" s="21"/>
      <c r="J238" s="20" t="str">
        <f aca="false">IF(OR($I238="",$H238="LOCAL"),"",ROUND($F238*$I238,0))</f>
        <v/>
      </c>
      <c r="K238" s="22"/>
    </row>
    <row r="239" customFormat="false" ht="15" hidden="false" customHeight="false" outlineLevel="0" collapsed="false">
      <c r="A239" s="17" t="s">
        <v>801</v>
      </c>
      <c r="B239" s="17" t="s">
        <v>802</v>
      </c>
      <c r="C239" s="17" t="s">
        <v>803</v>
      </c>
      <c r="D239" s="17"/>
      <c r="E239" s="18" t="s">
        <v>55</v>
      </c>
      <c r="F239" s="19" t="n">
        <v>1</v>
      </c>
      <c r="G239" s="20" t="n">
        <v>25</v>
      </c>
      <c r="H239" s="18" t="s">
        <v>50</v>
      </c>
      <c r="I239" s="21"/>
      <c r="J239" s="20" t="str">
        <f aca="false">IF(OR($I239="",$H239="LOCAL"),"",ROUND($F239*$I239,0))</f>
        <v/>
      </c>
      <c r="K239" s="22"/>
    </row>
    <row r="240" customFormat="false" ht="22.35" hidden="false" customHeight="false" outlineLevel="0" collapsed="false">
      <c r="A240" s="17" t="s">
        <v>804</v>
      </c>
      <c r="B240" s="17" t="s">
        <v>805</v>
      </c>
      <c r="C240" s="17" t="s">
        <v>806</v>
      </c>
      <c r="D240" s="17"/>
      <c r="E240" s="18" t="s">
        <v>68</v>
      </c>
      <c r="F240" s="19" t="n">
        <v>1</v>
      </c>
      <c r="G240" s="20" t="n">
        <v>120</v>
      </c>
      <c r="H240" s="18" t="s">
        <v>50</v>
      </c>
      <c r="I240" s="21"/>
      <c r="J240" s="20" t="str">
        <f aca="false">IF(OR($I240="",$H240="LOCAL"),"",ROUND($F240*$I240,0))</f>
        <v/>
      </c>
      <c r="K240" s="22"/>
    </row>
    <row r="241" customFormat="false" ht="15" hidden="false" customHeight="false" outlineLevel="0" collapsed="false">
      <c r="A241" s="17" t="s">
        <v>807</v>
      </c>
      <c r="B241" s="17" t="s">
        <v>808</v>
      </c>
      <c r="C241" s="17" t="s">
        <v>809</v>
      </c>
      <c r="D241" s="17" t="s">
        <v>810</v>
      </c>
      <c r="E241" s="18" t="s">
        <v>55</v>
      </c>
      <c r="F241" s="19" t="n">
        <v>1</v>
      </c>
      <c r="G241" s="20" t="n">
        <v>420</v>
      </c>
      <c r="H241" s="30" t="s">
        <v>580</v>
      </c>
      <c r="I241" s="21"/>
      <c r="J241" s="20" t="str">
        <f aca="false">IF(OR($I241="",$H241="LOCAL"),"",ROUND($F241*$I241,0))</f>
        <v/>
      </c>
      <c r="K241" s="22"/>
    </row>
    <row r="242" customFormat="false" ht="15" hidden="false" customHeight="false" outlineLevel="0" collapsed="false">
      <c r="A242" s="15" t="s">
        <v>811</v>
      </c>
      <c r="B242" s="15" t="s">
        <v>812</v>
      </c>
      <c r="C242" s="16"/>
      <c r="D242" s="16"/>
      <c r="E242" s="16"/>
      <c r="F242" s="16"/>
      <c r="G242" s="16"/>
      <c r="H242" s="16"/>
      <c r="I242" s="16"/>
      <c r="J242" s="16"/>
      <c r="K242" s="16"/>
    </row>
    <row r="243" customFormat="false" ht="15" hidden="false" customHeight="false" outlineLevel="0" collapsed="false">
      <c r="A243" s="17" t="s">
        <v>813</v>
      </c>
      <c r="B243" s="17" t="s">
        <v>814</v>
      </c>
      <c r="C243" s="17" t="s">
        <v>815</v>
      </c>
      <c r="D243" s="17" t="s">
        <v>816</v>
      </c>
      <c r="E243" s="18" t="s">
        <v>49</v>
      </c>
      <c r="F243" s="19" t="n">
        <v>13</v>
      </c>
      <c r="G243" s="20" t="n">
        <v>1560</v>
      </c>
      <c r="H243" s="18" t="s">
        <v>50</v>
      </c>
      <c r="I243" s="21"/>
      <c r="J243" s="20" t="str">
        <f aca="false">IF(OR($I243="",$H243="LOCAL"),"",ROUND($F243*$I243,0))</f>
        <v/>
      </c>
      <c r="K243" s="22"/>
    </row>
    <row r="244" customFormat="false" ht="15" hidden="false" customHeight="false" outlineLevel="0" collapsed="false">
      <c r="A244" s="17" t="s">
        <v>817</v>
      </c>
      <c r="B244" s="17" t="s">
        <v>818</v>
      </c>
      <c r="C244" s="17" t="s">
        <v>819</v>
      </c>
      <c r="D244" s="17"/>
      <c r="E244" s="18" t="s">
        <v>49</v>
      </c>
      <c r="F244" s="19" t="n">
        <v>13</v>
      </c>
      <c r="G244" s="20" t="n">
        <v>390</v>
      </c>
      <c r="H244" s="18" t="s">
        <v>50</v>
      </c>
      <c r="I244" s="21"/>
      <c r="J244" s="20" t="str">
        <f aca="false">IF(OR($I244="",$H244="LOCAL"),"",ROUND($F244*$I244,0))</f>
        <v/>
      </c>
      <c r="K244" s="22"/>
    </row>
    <row r="245" customFormat="false" ht="15" hidden="false" customHeight="false" outlineLevel="0" collapsed="false">
      <c r="A245" s="17" t="s">
        <v>820</v>
      </c>
      <c r="B245" s="17" t="s">
        <v>821</v>
      </c>
      <c r="C245" s="17" t="s">
        <v>579</v>
      </c>
      <c r="D245" s="17"/>
      <c r="E245" s="18" t="s">
        <v>49</v>
      </c>
      <c r="F245" s="19" t="n">
        <v>13</v>
      </c>
      <c r="G245" s="20" t="n">
        <v>260</v>
      </c>
      <c r="H245" s="30" t="s">
        <v>580</v>
      </c>
      <c r="I245" s="21"/>
      <c r="J245" s="20" t="str">
        <f aca="false">IF(OR($I245="",$H245="LOCAL"),"",ROUND($F245*$I245,0))</f>
        <v/>
      </c>
      <c r="K245" s="22"/>
    </row>
    <row r="246" customFormat="false" ht="15" hidden="false" customHeight="false" outlineLevel="0" collapsed="false">
      <c r="A246" s="17" t="s">
        <v>822</v>
      </c>
      <c r="B246" s="17" t="s">
        <v>823</v>
      </c>
      <c r="C246" s="17" t="s">
        <v>824</v>
      </c>
      <c r="D246" s="17"/>
      <c r="E246" s="18" t="s">
        <v>49</v>
      </c>
      <c r="F246" s="19" t="n">
        <v>1</v>
      </c>
      <c r="G246" s="20" t="n">
        <v>45</v>
      </c>
      <c r="H246" s="18" t="s">
        <v>50</v>
      </c>
      <c r="I246" s="21"/>
      <c r="J246" s="20" t="str">
        <f aca="false">IF(OR($I246="",$H246="LOCAL"),"",ROUND($F246*$I246,0))</f>
        <v/>
      </c>
      <c r="K246" s="22"/>
    </row>
    <row r="247" customFormat="false" ht="15" hidden="false" customHeight="false" outlineLevel="0" collapsed="false">
      <c r="A247" s="17" t="s">
        <v>825</v>
      </c>
      <c r="B247" s="17" t="s">
        <v>826</v>
      </c>
      <c r="C247" s="17"/>
      <c r="D247" s="17"/>
      <c r="E247" s="18" t="s">
        <v>68</v>
      </c>
      <c r="F247" s="19" t="n">
        <v>1</v>
      </c>
      <c r="G247" s="20" t="n">
        <v>60</v>
      </c>
      <c r="H247" s="18" t="s">
        <v>50</v>
      </c>
      <c r="I247" s="21"/>
      <c r="J247" s="20" t="str">
        <f aca="false">IF(OR($I247="",$H247="LOCAL"),"",ROUND($F247*$I247,0))</f>
        <v/>
      </c>
      <c r="K247" s="22"/>
    </row>
    <row r="248" customFormat="false" ht="15" hidden="false" customHeight="false" outlineLevel="0" collapsed="false">
      <c r="A248" s="15" t="s">
        <v>827</v>
      </c>
      <c r="B248" s="15" t="s">
        <v>828</v>
      </c>
      <c r="C248" s="16"/>
      <c r="D248" s="16"/>
      <c r="E248" s="16"/>
      <c r="F248" s="16"/>
      <c r="G248" s="16"/>
      <c r="H248" s="16"/>
      <c r="I248" s="16"/>
      <c r="J248" s="16"/>
      <c r="K248" s="16"/>
    </row>
    <row r="249" customFormat="false" ht="15" hidden="false" customHeight="false" outlineLevel="0" collapsed="false">
      <c r="A249" s="17" t="s">
        <v>829</v>
      </c>
      <c r="B249" s="17" t="s">
        <v>830</v>
      </c>
      <c r="C249" s="17" t="s">
        <v>831</v>
      </c>
      <c r="D249" s="17"/>
      <c r="E249" s="18" t="s">
        <v>68</v>
      </c>
      <c r="F249" s="19" t="n">
        <v>1</v>
      </c>
      <c r="G249" s="20" t="n">
        <v>60</v>
      </c>
      <c r="H249" s="18" t="s">
        <v>50</v>
      </c>
      <c r="I249" s="21"/>
      <c r="J249" s="20" t="str">
        <f aca="false">IF(OR($I249="",$H249="LOCAL"),"",ROUND($F249*$I249,0))</f>
        <v/>
      </c>
      <c r="K249" s="22"/>
    </row>
    <row r="250" customFormat="false" ht="15" hidden="false" customHeight="false" outlineLevel="0" collapsed="false">
      <c r="A250" s="17" t="s">
        <v>832</v>
      </c>
      <c r="B250" s="17" t="s">
        <v>833</v>
      </c>
      <c r="C250" s="17"/>
      <c r="D250" s="17"/>
      <c r="E250" s="18" t="s">
        <v>68</v>
      </c>
      <c r="F250" s="19" t="n">
        <v>1</v>
      </c>
      <c r="G250" s="20" t="n">
        <v>40</v>
      </c>
      <c r="H250" s="18" t="s">
        <v>50</v>
      </c>
      <c r="I250" s="21"/>
      <c r="J250" s="20" t="str">
        <f aca="false">IF(OR($I250="",$H250="LOCAL"),"",ROUND($F250*$I250,0))</f>
        <v/>
      </c>
      <c r="K250" s="22"/>
    </row>
    <row r="251" customFormat="false" ht="15" hidden="false" customHeight="false" outlineLevel="0" collapsed="false">
      <c r="A251" s="17" t="s">
        <v>834</v>
      </c>
      <c r="B251" s="17" t="s">
        <v>835</v>
      </c>
      <c r="C251" s="17" t="s">
        <v>836</v>
      </c>
      <c r="D251" s="17"/>
      <c r="E251" s="18" t="s">
        <v>68</v>
      </c>
      <c r="F251" s="19" t="n">
        <v>1</v>
      </c>
      <c r="G251" s="20" t="n">
        <v>80</v>
      </c>
      <c r="H251" s="18" t="s">
        <v>50</v>
      </c>
      <c r="I251" s="21"/>
      <c r="J251" s="20" t="str">
        <f aca="false">IF(OR($I251="",$H251="LOCAL"),"",ROUND($F251*$I251,0))</f>
        <v/>
      </c>
      <c r="K251" s="22"/>
    </row>
    <row r="252" customFormat="false" ht="15" hidden="false" customHeight="false" outlineLevel="0" collapsed="false">
      <c r="A252" s="17" t="s">
        <v>837</v>
      </c>
      <c r="B252" s="17" t="s">
        <v>838</v>
      </c>
      <c r="C252" s="17"/>
      <c r="D252" s="17"/>
      <c r="E252" s="18" t="s">
        <v>68</v>
      </c>
      <c r="F252" s="19" t="n">
        <v>1</v>
      </c>
      <c r="G252" s="20" t="n">
        <v>60</v>
      </c>
      <c r="H252" s="18" t="s">
        <v>50</v>
      </c>
      <c r="I252" s="21"/>
      <c r="J252" s="20" t="str">
        <f aca="false">IF(OR($I252="",$H252="LOCAL"),"",ROUND($F252*$I252,0))</f>
        <v/>
      </c>
      <c r="K252" s="22"/>
    </row>
    <row r="253" customFormat="false" ht="15" hidden="false" customHeight="false" outlineLevel="0" collapsed="false">
      <c r="A253" s="17" t="s">
        <v>839</v>
      </c>
      <c r="B253" s="17" t="s">
        <v>840</v>
      </c>
      <c r="C253" s="17"/>
      <c r="D253" s="17"/>
      <c r="E253" s="18" t="s">
        <v>68</v>
      </c>
      <c r="F253" s="19" t="n">
        <v>1</v>
      </c>
      <c r="G253" s="20" t="n">
        <v>30</v>
      </c>
      <c r="H253" s="18" t="s">
        <v>50</v>
      </c>
      <c r="I253" s="21"/>
      <c r="J253" s="20" t="str">
        <f aca="false">IF(OR($I253="",$H253="LOCAL"),"",ROUND($F253*$I253,0))</f>
        <v/>
      </c>
      <c r="K253" s="22"/>
    </row>
    <row r="254" customFormat="false" ht="15" hidden="false" customHeight="false" outlineLevel="0" collapsed="false">
      <c r="A254" s="17" t="s">
        <v>841</v>
      </c>
      <c r="B254" s="17" t="s">
        <v>842</v>
      </c>
      <c r="C254" s="17"/>
      <c r="D254" s="17"/>
      <c r="E254" s="18" t="s">
        <v>68</v>
      </c>
      <c r="F254" s="19" t="n">
        <v>1</v>
      </c>
      <c r="G254" s="20" t="n">
        <v>25</v>
      </c>
      <c r="H254" s="18" t="s">
        <v>50</v>
      </c>
      <c r="I254" s="21"/>
      <c r="J254" s="20" t="str">
        <f aca="false">IF(OR($I254="",$H254="LOCAL"),"",ROUND($F254*$I254,0))</f>
        <v/>
      </c>
      <c r="K254" s="22"/>
    </row>
    <row r="255" customFormat="false" ht="15" hidden="false" customHeight="false" outlineLevel="0" collapsed="false">
      <c r="A255" s="17" t="s">
        <v>843</v>
      </c>
      <c r="B255" s="17" t="s">
        <v>844</v>
      </c>
      <c r="C255" s="17" t="s">
        <v>845</v>
      </c>
      <c r="D255" s="17"/>
      <c r="E255" s="18" t="s">
        <v>68</v>
      </c>
      <c r="F255" s="19" t="n">
        <v>1</v>
      </c>
      <c r="G255" s="20" t="n">
        <v>10</v>
      </c>
      <c r="H255" s="18" t="s">
        <v>50</v>
      </c>
      <c r="I255" s="21"/>
      <c r="J255" s="20" t="str">
        <f aca="false">IF(OR($I255="",$H255="LOCAL"),"",ROUND($F255*$I255,0))</f>
        <v/>
      </c>
      <c r="K255" s="22"/>
    </row>
    <row r="256" customFormat="false" ht="15" hidden="false" customHeight="false" outlineLevel="0" collapsed="false">
      <c r="A256" s="17" t="s">
        <v>846</v>
      </c>
      <c r="B256" s="17" t="s">
        <v>847</v>
      </c>
      <c r="C256" s="17" t="s">
        <v>848</v>
      </c>
      <c r="D256" s="17" t="s">
        <v>849</v>
      </c>
      <c r="E256" s="18" t="s">
        <v>68</v>
      </c>
      <c r="F256" s="19" t="n">
        <v>1</v>
      </c>
      <c r="G256" s="20" t="n">
        <v>400</v>
      </c>
      <c r="H256" s="18" t="s">
        <v>50</v>
      </c>
      <c r="I256" s="21"/>
      <c r="J256" s="20" t="str">
        <f aca="false">IF(OR($I256="",$H256="LOCAL"),"",ROUND($F256*$I256,0))</f>
        <v/>
      </c>
      <c r="K256" s="22"/>
    </row>
    <row r="257" customFormat="false" ht="15" hidden="false" customHeight="false" outlineLevel="0" collapsed="false">
      <c r="A257" s="17" t="s">
        <v>850</v>
      </c>
      <c r="B257" s="17" t="s">
        <v>851</v>
      </c>
      <c r="C257" s="17" t="s">
        <v>852</v>
      </c>
      <c r="D257" s="17"/>
      <c r="E257" s="18" t="s">
        <v>68</v>
      </c>
      <c r="F257" s="19" t="n">
        <v>1</v>
      </c>
      <c r="G257" s="20" t="n">
        <v>120</v>
      </c>
      <c r="H257" s="18" t="s">
        <v>50</v>
      </c>
      <c r="I257" s="21"/>
      <c r="J257" s="20" t="str">
        <f aca="false">IF(OR($I257="",$H257="LOCAL"),"",ROUND($F257*$I257,0))</f>
        <v/>
      </c>
      <c r="K257" s="22"/>
    </row>
    <row r="258" customFormat="false" ht="15" hidden="false" customHeight="false" outlineLevel="0" collapsed="false">
      <c r="A258" s="15" t="s">
        <v>853</v>
      </c>
      <c r="B258" s="15" t="s">
        <v>854</v>
      </c>
      <c r="C258" s="16"/>
      <c r="D258" s="16"/>
      <c r="E258" s="16"/>
      <c r="F258" s="16"/>
      <c r="G258" s="16"/>
      <c r="H258" s="16"/>
      <c r="I258" s="16"/>
      <c r="J258" s="16"/>
      <c r="K258" s="16"/>
    </row>
    <row r="259" customFormat="false" ht="15" hidden="false" customHeight="false" outlineLevel="0" collapsed="false">
      <c r="A259" s="25" t="s">
        <v>855</v>
      </c>
      <c r="B259" s="25" t="s">
        <v>856</v>
      </c>
      <c r="C259" s="25" t="s">
        <v>857</v>
      </c>
      <c r="D259" s="25"/>
      <c r="E259" s="26" t="s">
        <v>68</v>
      </c>
      <c r="F259" s="27" t="n">
        <v>1</v>
      </c>
      <c r="G259" s="28"/>
      <c r="H259" s="26" t="s">
        <v>491</v>
      </c>
      <c r="I259" s="28"/>
      <c r="J259" s="29" t="str">
        <f aca="false">IF(OR($I259="",$H259="LOCAL"),"",ROUND($F259*$I259,0))</f>
        <v/>
      </c>
      <c r="K259" s="25"/>
    </row>
    <row r="260" customFormat="false" ht="15" hidden="false" customHeight="false" outlineLevel="0" collapsed="false">
      <c r="A260" s="25" t="s">
        <v>858</v>
      </c>
      <c r="B260" s="25" t="s">
        <v>859</v>
      </c>
      <c r="C260" s="25" t="s">
        <v>860</v>
      </c>
      <c r="D260" s="25"/>
      <c r="E260" s="26" t="s">
        <v>49</v>
      </c>
      <c r="F260" s="27" t="n">
        <v>12</v>
      </c>
      <c r="G260" s="28"/>
      <c r="H260" s="26" t="s">
        <v>491</v>
      </c>
      <c r="I260" s="28"/>
      <c r="J260" s="29" t="str">
        <f aca="false">IF(OR($I260="",$H260="LOCAL"),"",ROUND($F260*$I260,0))</f>
        <v/>
      </c>
      <c r="K260" s="25"/>
    </row>
    <row r="261" customFormat="false" ht="15" hidden="false" customHeight="false" outlineLevel="0" collapsed="false">
      <c r="A261" s="25" t="s">
        <v>861</v>
      </c>
      <c r="B261" s="25" t="s">
        <v>862</v>
      </c>
      <c r="C261" s="25" t="s">
        <v>863</v>
      </c>
      <c r="D261" s="25" t="s">
        <v>864</v>
      </c>
      <c r="E261" s="26" t="s">
        <v>68</v>
      </c>
      <c r="F261" s="27" t="n">
        <v>1</v>
      </c>
      <c r="G261" s="28"/>
      <c r="H261" s="26" t="s">
        <v>491</v>
      </c>
      <c r="I261" s="28"/>
      <c r="J261" s="29" t="str">
        <f aca="false">IF(OR($I261="",$H261="LOCAL"),"",ROUND($F261*$I261,0))</f>
        <v/>
      </c>
      <c r="K261" s="25"/>
    </row>
    <row r="262" customFormat="false" ht="15" hidden="false" customHeight="false" outlineLevel="0" collapsed="false">
      <c r="A262" s="25" t="s">
        <v>865</v>
      </c>
      <c r="B262" s="25" t="s">
        <v>866</v>
      </c>
      <c r="C262" s="25"/>
      <c r="D262" s="25"/>
      <c r="E262" s="26" t="s">
        <v>68</v>
      </c>
      <c r="F262" s="27" t="n">
        <v>1</v>
      </c>
      <c r="G262" s="28"/>
      <c r="H262" s="26" t="s">
        <v>491</v>
      </c>
      <c r="I262" s="28"/>
      <c r="J262" s="29" t="str">
        <f aca="false">IF(OR($I262="",$H262="LOCAL"),"",ROUND($F262*$I262,0))</f>
        <v/>
      </c>
      <c r="K262" s="25"/>
    </row>
    <row r="263" customFormat="false" ht="15" hidden="false" customHeight="false" outlineLevel="0" collapsed="false">
      <c r="A263" s="25" t="s">
        <v>867</v>
      </c>
      <c r="B263" s="25" t="s">
        <v>868</v>
      </c>
      <c r="C263" s="25"/>
      <c r="D263" s="25"/>
      <c r="E263" s="26" t="s">
        <v>68</v>
      </c>
      <c r="F263" s="27" t="n">
        <v>1</v>
      </c>
      <c r="G263" s="28"/>
      <c r="H263" s="26" t="s">
        <v>491</v>
      </c>
      <c r="I263" s="28"/>
      <c r="J263" s="29" t="str">
        <f aca="false">IF(OR($I263="",$H263="LOCAL"),"",ROUND($F263*$I263,0))</f>
        <v/>
      </c>
      <c r="K263" s="25"/>
    </row>
    <row r="264" customFormat="false" ht="15" hidden="false" customHeight="false" outlineLevel="0" collapsed="false">
      <c r="A264" s="25" t="s">
        <v>869</v>
      </c>
      <c r="B264" s="25" t="s">
        <v>870</v>
      </c>
      <c r="C264" s="25" t="s">
        <v>871</v>
      </c>
      <c r="D264" s="25"/>
      <c r="E264" s="26" t="s">
        <v>68</v>
      </c>
      <c r="F264" s="27" t="n">
        <v>1</v>
      </c>
      <c r="G264" s="28"/>
      <c r="H264" s="26" t="s">
        <v>491</v>
      </c>
      <c r="I264" s="28"/>
      <c r="J264" s="29" t="str">
        <f aca="false">IF(OR($I264="",$H264="LOCAL"),"",ROUND($F264*$I264,0))</f>
        <v/>
      </c>
      <c r="K264" s="25"/>
    </row>
    <row r="265" customFormat="false" ht="15" hidden="false" customHeight="false" outlineLevel="0" collapsed="false">
      <c r="A265" s="25" t="s">
        <v>872</v>
      </c>
      <c r="B265" s="25" t="s">
        <v>873</v>
      </c>
      <c r="C265" s="25" t="s">
        <v>874</v>
      </c>
      <c r="D265" s="25"/>
      <c r="E265" s="26" t="s">
        <v>68</v>
      </c>
      <c r="F265" s="27" t="n">
        <v>1</v>
      </c>
      <c r="G265" s="28"/>
      <c r="H265" s="26" t="s">
        <v>491</v>
      </c>
      <c r="I265" s="28"/>
      <c r="J265" s="29" t="str">
        <f aca="false">IF(OR($I265="",$H265="LOCAL"),"",ROUND($F265*$I265,0))</f>
        <v/>
      </c>
      <c r="K265" s="25"/>
    </row>
    <row r="266" customFormat="false" ht="15" hidden="false" customHeight="false" outlineLevel="0" collapsed="false">
      <c r="A266" s="25" t="s">
        <v>875</v>
      </c>
      <c r="B266" s="25" t="s">
        <v>876</v>
      </c>
      <c r="C266" s="25" t="s">
        <v>877</v>
      </c>
      <c r="D266" s="25"/>
      <c r="E266" s="26" t="s">
        <v>68</v>
      </c>
      <c r="F266" s="27" t="n">
        <v>1</v>
      </c>
      <c r="G266" s="28"/>
      <c r="H266" s="26" t="s">
        <v>491</v>
      </c>
      <c r="I266" s="28"/>
      <c r="J266" s="29" t="str">
        <f aca="false">IF(OR($I266="",$H266="LOCAL"),"",ROUND($F266*$I266,0))</f>
        <v/>
      </c>
      <c r="K266" s="25"/>
    </row>
    <row r="267" customFormat="false" ht="15" hidden="false" customHeight="false" outlineLevel="0" collapsed="false">
      <c r="A267" s="25" t="s">
        <v>878</v>
      </c>
      <c r="B267" s="25" t="s">
        <v>879</v>
      </c>
      <c r="C267" s="25" t="s">
        <v>880</v>
      </c>
      <c r="D267" s="25"/>
      <c r="E267" s="26" t="s">
        <v>68</v>
      </c>
      <c r="F267" s="27" t="n">
        <v>1</v>
      </c>
      <c r="G267" s="28"/>
      <c r="H267" s="26" t="s">
        <v>491</v>
      </c>
      <c r="I267" s="28"/>
      <c r="J267" s="29" t="str">
        <f aca="false">IF(OR($I267="",$H267="LOCAL"),"",ROUND($F267*$I267,0))</f>
        <v/>
      </c>
      <c r="K267" s="25"/>
    </row>
    <row r="268" customFormat="false" ht="15" hidden="false" customHeight="false" outlineLevel="0" collapsed="false">
      <c r="A268" s="25" t="s">
        <v>881</v>
      </c>
      <c r="B268" s="25" t="s">
        <v>882</v>
      </c>
      <c r="C268" s="25" t="s">
        <v>883</v>
      </c>
      <c r="D268" s="25"/>
      <c r="E268" s="26" t="s">
        <v>68</v>
      </c>
      <c r="F268" s="27" t="n">
        <v>1</v>
      </c>
      <c r="G268" s="28"/>
      <c r="H268" s="26" t="s">
        <v>491</v>
      </c>
      <c r="I268" s="28"/>
      <c r="J268" s="29" t="str">
        <f aca="false">IF(OR($I268="",$H268="LOCAL"),"",ROUND($F268*$I268,0))</f>
        <v/>
      </c>
      <c r="K268" s="25"/>
    </row>
    <row r="269" customFormat="false" ht="15" hidden="false" customHeight="false" outlineLevel="0" collapsed="false">
      <c r="A269" s="25" t="s">
        <v>884</v>
      </c>
      <c r="B269" s="25" t="s">
        <v>885</v>
      </c>
      <c r="C269" s="25" t="s">
        <v>886</v>
      </c>
      <c r="D269" s="25"/>
      <c r="E269" s="26" t="s">
        <v>68</v>
      </c>
      <c r="F269" s="27" t="n">
        <v>1</v>
      </c>
      <c r="G269" s="28"/>
      <c r="H269" s="26" t="s">
        <v>491</v>
      </c>
      <c r="I269" s="28"/>
      <c r="J269" s="29" t="str">
        <f aca="false">IF(OR($I269="",$H269="LOCAL"),"",ROUND($F269*$I269,0))</f>
        <v/>
      </c>
      <c r="K269" s="25"/>
    </row>
    <row r="270" customFormat="false" ht="15" hidden="false" customHeight="false" outlineLevel="0" collapsed="false">
      <c r="A270" s="25" t="s">
        <v>887</v>
      </c>
      <c r="B270" s="25" t="s">
        <v>888</v>
      </c>
      <c r="C270" s="25" t="s">
        <v>889</v>
      </c>
      <c r="D270" s="25"/>
      <c r="E270" s="26" t="s">
        <v>68</v>
      </c>
      <c r="F270" s="27" t="n">
        <v>1</v>
      </c>
      <c r="G270" s="28"/>
      <c r="H270" s="26" t="s">
        <v>491</v>
      </c>
      <c r="I270" s="28"/>
      <c r="J270" s="29" t="str">
        <f aca="false">IF(OR($I270="",$H270="LOCAL"),"",ROUND($F270*$I270,0))</f>
        <v/>
      </c>
      <c r="K270" s="25"/>
    </row>
    <row r="272" customFormat="false" ht="15" hidden="false" customHeight="false" outlineLevel="0" collapsed="false">
      <c r="A272" s="31"/>
      <c r="B272" s="31" t="s">
        <v>890</v>
      </c>
      <c r="C272" s="31"/>
      <c r="D272" s="31"/>
      <c r="E272" s="31"/>
      <c r="F272" s="31"/>
      <c r="G272" s="32" t="n">
        <f aca="false">SUMIFS($G$2:$G$270,$H$2:$H$270,"CN")</f>
        <v>73686</v>
      </c>
      <c r="H272" s="31"/>
      <c r="I272" s="31"/>
      <c r="J272" s="32" t="n">
        <f aca="false">SUMIFS($J$2:$J$270,$H$2:$H$270,"CN")</f>
        <v>0</v>
      </c>
      <c r="K272" s="31"/>
    </row>
    <row r="273" customFormat="false" ht="15" hidden="false" customHeight="false" outlineLevel="0" collapsed="false">
      <c r="A273" s="31"/>
      <c r="B273" s="31" t="s">
        <v>891</v>
      </c>
      <c r="C273" s="31"/>
      <c r="D273" s="31"/>
      <c r="E273" s="31"/>
      <c r="F273" s="31"/>
      <c r="G273" s="33"/>
      <c r="H273" s="31"/>
      <c r="I273" s="31"/>
      <c r="J273" s="32" t="n">
        <f aca="false">SUMIFS($J$2:$J$270,$H$2:$H$270,"CN-OPT")</f>
        <v>0</v>
      </c>
      <c r="K273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7" min="5" style="0" width="15"/>
  </cols>
  <sheetData>
    <row r="1" customFormat="false" ht="15" hidden="false" customHeight="false" outlineLevel="0" collapsed="false">
      <c r="A1" s="5" t="s">
        <v>892</v>
      </c>
    </row>
    <row r="3" customFormat="false" ht="15" hidden="false" customHeight="false" outlineLevel="0" collapsed="false">
      <c r="A3" s="14" t="s">
        <v>893</v>
      </c>
      <c r="B3" s="14" t="s">
        <v>894</v>
      </c>
      <c r="C3" s="14" t="s">
        <v>895</v>
      </c>
      <c r="D3" s="14" t="s">
        <v>896</v>
      </c>
      <c r="E3" s="14" t="s">
        <v>897</v>
      </c>
      <c r="F3" s="14" t="s">
        <v>898</v>
      </c>
      <c r="G3" s="14" t="s">
        <v>899</v>
      </c>
    </row>
    <row r="4" customFormat="false" ht="15" hidden="false" customHeight="false" outlineLevel="0" collapsed="false">
      <c r="A4" s="9" t="s">
        <v>43</v>
      </c>
      <c r="B4" s="9" t="s">
        <v>900</v>
      </c>
      <c r="C4" s="34" t="n">
        <f aca="false">COUNTIFS(BOM!$A$2:$A$270,"A-*")</f>
        <v>5</v>
      </c>
      <c r="D4" s="35" t="n">
        <f aca="false">SUMIFS(BOM!$G$2:$G$270,BOM!$A$2:$A$270,"A-*")</f>
        <v>11916</v>
      </c>
      <c r="E4" s="35" t="n">
        <f aca="false">SUMIFS(BOM!$J$2:$J$270,BOM!$A$2:$A$270,"A-*",BOM!$H$2:$H$270,"CN")</f>
        <v>0</v>
      </c>
      <c r="F4" s="35" t="n">
        <f aca="false">SUMIFS(BOM!$J$2:$J$270,BOM!$A$2:$A$270,"A-*",BOM!$H$2:$H$270,"CN-OPT")</f>
        <v>0</v>
      </c>
      <c r="G4" s="9" t="str">
        <f aca="false">IF(COUNTIFS(BOM!$A$2:$A$270,"A-*",BOM!$H$2:$H$270,"LOCAL")&gt;0,"local items","")</f>
        <v/>
      </c>
    </row>
    <row r="5" customFormat="false" ht="15" hidden="false" customHeight="false" outlineLevel="0" collapsed="false">
      <c r="A5" s="9" t="s">
        <v>69</v>
      </c>
      <c r="B5" s="9" t="s">
        <v>901</v>
      </c>
      <c r="C5" s="34" t="n">
        <f aca="false">COUNTIFS(BOM!$A$2:$A$270,"B-*")</f>
        <v>13</v>
      </c>
      <c r="D5" s="35" t="n">
        <f aca="false">SUMIFS(BOM!$G$2:$G$270,BOM!$A$2:$A$270,"B-*")</f>
        <v>2835</v>
      </c>
      <c r="E5" s="35" t="n">
        <f aca="false">SUMIFS(BOM!$J$2:$J$270,BOM!$A$2:$A$270,"B-*",BOM!$H$2:$H$270,"CN")</f>
        <v>0</v>
      </c>
      <c r="F5" s="35" t="n">
        <f aca="false">SUMIFS(BOM!$J$2:$J$270,BOM!$A$2:$A$270,"B-*",BOM!$H$2:$H$270,"CN-OPT")</f>
        <v>0</v>
      </c>
      <c r="G5" s="9" t="str">
        <f aca="false">IF(COUNTIFS(BOM!$A$2:$A$270,"B-*",BOM!$H$2:$H$270,"LOCAL")&gt;0,"local items","")</f>
        <v/>
      </c>
    </row>
    <row r="6" customFormat="false" ht="15" hidden="false" customHeight="false" outlineLevel="0" collapsed="false">
      <c r="A6" s="9" t="s">
        <v>120</v>
      </c>
      <c r="B6" s="9" t="s">
        <v>902</v>
      </c>
      <c r="C6" s="34" t="n">
        <f aca="false">COUNTIFS(BOM!$A$2:$A$270,"C-*")</f>
        <v>12</v>
      </c>
      <c r="D6" s="35" t="n">
        <f aca="false">SUMIFS(BOM!$G$2:$G$270,BOM!$A$2:$A$270,"C-*")</f>
        <v>12888</v>
      </c>
      <c r="E6" s="35" t="n">
        <f aca="false">SUMIFS(BOM!$J$2:$J$270,BOM!$A$2:$A$270,"C-*",BOM!$H$2:$H$270,"CN")</f>
        <v>0</v>
      </c>
      <c r="F6" s="35" t="n">
        <f aca="false">SUMIFS(BOM!$J$2:$J$270,BOM!$A$2:$A$270,"C-*",BOM!$H$2:$H$270,"CN-OPT")</f>
        <v>0</v>
      </c>
      <c r="G6" s="9" t="str">
        <f aca="false">IF(COUNTIFS(BOM!$A$2:$A$270,"C-*",BOM!$H$2:$H$270,"LOCAL")&gt;0,"local items","")</f>
        <v/>
      </c>
    </row>
    <row r="7" customFormat="false" ht="15" hidden="false" customHeight="false" outlineLevel="0" collapsed="false">
      <c r="A7" s="9" t="s">
        <v>166</v>
      </c>
      <c r="B7" s="9" t="s">
        <v>903</v>
      </c>
      <c r="C7" s="34" t="n">
        <f aca="false">COUNTIFS(BOM!$A$2:$A$270,"D-*")</f>
        <v>11</v>
      </c>
      <c r="D7" s="35" t="n">
        <f aca="false">SUMIFS(BOM!$G$2:$G$270,BOM!$A$2:$A$270,"D-*")</f>
        <v>3691</v>
      </c>
      <c r="E7" s="35" t="n">
        <f aca="false">SUMIFS(BOM!$J$2:$J$270,BOM!$A$2:$A$270,"D-*",BOM!$H$2:$H$270,"CN")</f>
        <v>0</v>
      </c>
      <c r="F7" s="35" t="n">
        <f aca="false">SUMIFS(BOM!$J$2:$J$270,BOM!$A$2:$A$270,"D-*",BOM!$H$2:$H$270,"CN-OPT")</f>
        <v>0</v>
      </c>
      <c r="G7" s="9" t="str">
        <f aca="false">IF(COUNTIFS(BOM!$A$2:$A$270,"D-*",BOM!$H$2:$H$270,"LOCAL")&gt;0,"local items","")</f>
        <v/>
      </c>
    </row>
    <row r="8" customFormat="false" ht="15" hidden="false" customHeight="false" outlineLevel="0" collapsed="false">
      <c r="A8" s="9" t="s">
        <v>205</v>
      </c>
      <c r="B8" s="9" t="s">
        <v>904</v>
      </c>
      <c r="C8" s="34" t="n">
        <f aca="false">COUNTIFS(BOM!$A$2:$A$270,"E-*")</f>
        <v>6</v>
      </c>
      <c r="D8" s="35" t="n">
        <f aca="false">SUMIFS(BOM!$G$2:$G$270,BOM!$A$2:$A$270,"E-*")</f>
        <v>1545</v>
      </c>
      <c r="E8" s="35" t="n">
        <f aca="false">SUMIFS(BOM!$J$2:$J$270,BOM!$A$2:$A$270,"E-*",BOM!$H$2:$H$270,"CN")</f>
        <v>0</v>
      </c>
      <c r="F8" s="35" t="n">
        <f aca="false">SUMIFS(BOM!$J$2:$J$270,BOM!$A$2:$A$270,"E-*",BOM!$H$2:$H$270,"CN-OPT")</f>
        <v>0</v>
      </c>
      <c r="G8" s="9" t="str">
        <f aca="false">IF(COUNTIFS(BOM!$A$2:$A$270,"E-*",BOM!$H$2:$H$270,"LOCAL")&gt;0,"local items","")</f>
        <v/>
      </c>
    </row>
    <row r="9" customFormat="false" ht="15" hidden="false" customHeight="false" outlineLevel="0" collapsed="false">
      <c r="A9" s="9" t="s">
        <v>225</v>
      </c>
      <c r="B9" s="9" t="s">
        <v>905</v>
      </c>
      <c r="C9" s="34" t="n">
        <f aca="false">COUNTIFS(BOM!$A$2:$A$270,"F-*")</f>
        <v>8</v>
      </c>
      <c r="D9" s="35" t="n">
        <f aca="false">SUMIFS(BOM!$G$2:$G$270,BOM!$A$2:$A$270,"F-*")</f>
        <v>2576</v>
      </c>
      <c r="E9" s="35" t="n">
        <f aca="false">SUMIFS(BOM!$J$2:$J$270,BOM!$A$2:$A$270,"F-*",BOM!$H$2:$H$270,"CN")</f>
        <v>0</v>
      </c>
      <c r="F9" s="35" t="n">
        <f aca="false">SUMIFS(BOM!$J$2:$J$270,BOM!$A$2:$A$270,"F-*",BOM!$H$2:$H$270,"CN-OPT")</f>
        <v>0</v>
      </c>
      <c r="G9" s="9" t="str">
        <f aca="false">IF(COUNTIFS(BOM!$A$2:$A$270,"F-*",BOM!$H$2:$H$270,"LOCAL")&gt;0,"local items","")</f>
        <v/>
      </c>
    </row>
    <row r="10" customFormat="false" ht="15" hidden="false" customHeight="false" outlineLevel="0" collapsed="false">
      <c r="A10" s="9" t="s">
        <v>254</v>
      </c>
      <c r="B10" s="9" t="s">
        <v>906</v>
      </c>
      <c r="C10" s="34" t="n">
        <f aca="false">COUNTIFS(BOM!$A$2:$A$270,"G-*")</f>
        <v>9</v>
      </c>
      <c r="D10" s="35" t="n">
        <f aca="false">SUMIFS(BOM!$G$2:$G$270,BOM!$A$2:$A$270,"G-*")</f>
        <v>3700</v>
      </c>
      <c r="E10" s="35" t="n">
        <f aca="false">SUMIFS(BOM!$J$2:$J$270,BOM!$A$2:$A$270,"G-*",BOM!$H$2:$H$270,"CN")</f>
        <v>0</v>
      </c>
      <c r="F10" s="35" t="n">
        <f aca="false">SUMIFS(BOM!$J$2:$J$270,BOM!$A$2:$A$270,"G-*",BOM!$H$2:$H$270,"CN-OPT")</f>
        <v>0</v>
      </c>
      <c r="G10" s="9" t="str">
        <f aca="false">IF(COUNTIFS(BOM!$A$2:$A$270,"G-*",BOM!$H$2:$H$270,"LOCAL")&gt;0,"local items","")</f>
        <v/>
      </c>
    </row>
    <row r="11" customFormat="false" ht="15" hidden="false" customHeight="false" outlineLevel="0" collapsed="false">
      <c r="A11" s="9" t="s">
        <v>285</v>
      </c>
      <c r="B11" s="9" t="s">
        <v>907</v>
      </c>
      <c r="C11" s="34" t="n">
        <f aca="false">COUNTIFS(BOM!$A$2:$A$270,"H-*")</f>
        <v>13</v>
      </c>
      <c r="D11" s="35" t="n">
        <f aca="false">SUMIFS(BOM!$G$2:$G$270,BOM!$A$2:$A$270,"H-*")</f>
        <v>8460</v>
      </c>
      <c r="E11" s="35" t="n">
        <f aca="false">SUMIFS(BOM!$J$2:$J$270,BOM!$A$2:$A$270,"H-*",BOM!$H$2:$H$270,"CN")</f>
        <v>0</v>
      </c>
      <c r="F11" s="35" t="n">
        <f aca="false">SUMIFS(BOM!$J$2:$J$270,BOM!$A$2:$A$270,"H-*",BOM!$H$2:$H$270,"CN-OPT")</f>
        <v>0</v>
      </c>
      <c r="G11" s="9" t="str">
        <f aca="false">IF(COUNTIFS(BOM!$A$2:$A$270,"H-*",BOM!$H$2:$H$270,"LOCAL")&gt;0,"local items","")</f>
        <v/>
      </c>
    </row>
    <row r="12" customFormat="false" ht="15" hidden="false" customHeight="false" outlineLevel="0" collapsed="false">
      <c r="A12" s="9" t="s">
        <v>332</v>
      </c>
      <c r="B12" s="9" t="s">
        <v>908</v>
      </c>
      <c r="C12" s="34" t="n">
        <f aca="false">COUNTIFS(BOM!$A$2:$A$270,"I-*")</f>
        <v>8</v>
      </c>
      <c r="D12" s="35" t="n">
        <f aca="false">SUMIFS(BOM!$G$2:$G$270,BOM!$A$2:$A$270,"I-*")</f>
        <v>1219</v>
      </c>
      <c r="E12" s="35" t="n">
        <f aca="false">SUMIFS(BOM!$J$2:$J$270,BOM!$A$2:$A$270,"I-*",BOM!$H$2:$H$270,"CN")</f>
        <v>0</v>
      </c>
      <c r="F12" s="35" t="n">
        <f aca="false">SUMIFS(BOM!$J$2:$J$270,BOM!$A$2:$A$270,"I-*",BOM!$H$2:$H$270,"CN-OPT")</f>
        <v>0</v>
      </c>
      <c r="G12" s="9" t="str">
        <f aca="false">IF(COUNTIFS(BOM!$A$2:$A$270,"I-*",BOM!$H$2:$H$270,"LOCAL")&gt;0,"local items","")</f>
        <v/>
      </c>
    </row>
    <row r="13" customFormat="false" ht="15" hidden="false" customHeight="false" outlineLevel="0" collapsed="false">
      <c r="A13" s="9" t="s">
        <v>358</v>
      </c>
      <c r="B13" s="9" t="s">
        <v>909</v>
      </c>
      <c r="C13" s="34" t="n">
        <f aca="false">COUNTIFS(BOM!$A$2:$A$270,"J-*")</f>
        <v>10</v>
      </c>
      <c r="D13" s="35" t="n">
        <f aca="false">SUMIFS(BOM!$G$2:$G$270,BOM!$A$2:$A$270,"J-*")</f>
        <v>3821</v>
      </c>
      <c r="E13" s="35" t="n">
        <f aca="false">SUMIFS(BOM!$J$2:$J$270,BOM!$A$2:$A$270,"J-*",BOM!$H$2:$H$270,"CN")</f>
        <v>0</v>
      </c>
      <c r="F13" s="35" t="n">
        <f aca="false">SUMIFS(BOM!$J$2:$J$270,BOM!$A$2:$A$270,"J-*",BOM!$H$2:$H$270,"CN-OPT")</f>
        <v>0</v>
      </c>
      <c r="G13" s="9" t="str">
        <f aca="false">IF(COUNTIFS(BOM!$A$2:$A$270,"J-*",BOM!$H$2:$H$270,"LOCAL")&gt;0,"local items","")</f>
        <v/>
      </c>
    </row>
    <row r="14" customFormat="false" ht="15" hidden="false" customHeight="false" outlineLevel="0" collapsed="false">
      <c r="A14" s="9" t="s">
        <v>397</v>
      </c>
      <c r="B14" s="9" t="s">
        <v>910</v>
      </c>
      <c r="C14" s="34" t="n">
        <f aca="false">COUNTIFS(BOM!$A$2:$A$270,"K-*")</f>
        <v>8</v>
      </c>
      <c r="D14" s="35" t="n">
        <f aca="false">SUMIFS(BOM!$G$2:$G$270,BOM!$A$2:$A$270,"K-*")</f>
        <v>805</v>
      </c>
      <c r="E14" s="35" t="n">
        <f aca="false">SUMIFS(BOM!$J$2:$J$270,BOM!$A$2:$A$270,"K-*",BOM!$H$2:$H$270,"CN")</f>
        <v>0</v>
      </c>
      <c r="F14" s="35" t="n">
        <f aca="false">SUMIFS(BOM!$J$2:$J$270,BOM!$A$2:$A$270,"K-*",BOM!$H$2:$H$270,"CN-OPT")</f>
        <v>0</v>
      </c>
      <c r="G14" s="9" t="str">
        <f aca="false">IF(COUNTIFS(BOM!$A$2:$A$270,"K-*",BOM!$H$2:$H$270,"LOCAL")&gt;0,"local items","")</f>
        <v/>
      </c>
    </row>
    <row r="15" customFormat="false" ht="15" hidden="false" customHeight="false" outlineLevel="0" collapsed="false">
      <c r="A15" s="9" t="s">
        <v>424</v>
      </c>
      <c r="B15" s="9" t="s">
        <v>911</v>
      </c>
      <c r="C15" s="34" t="n">
        <f aca="false">COUNTIFS(BOM!$A$2:$A$270,"L-*")</f>
        <v>10</v>
      </c>
      <c r="D15" s="35" t="n">
        <f aca="false">SUMIFS(BOM!$G$2:$G$270,BOM!$A$2:$A$270,"L-*")</f>
        <v>5084</v>
      </c>
      <c r="E15" s="35" t="n">
        <f aca="false">SUMIFS(BOM!$J$2:$J$270,BOM!$A$2:$A$270,"L-*",BOM!$H$2:$H$270,"CN")</f>
        <v>0</v>
      </c>
      <c r="F15" s="35" t="n">
        <f aca="false">SUMIFS(BOM!$J$2:$J$270,BOM!$A$2:$A$270,"L-*",BOM!$H$2:$H$270,"CN-OPT")</f>
        <v>0</v>
      </c>
      <c r="G15" s="9" t="str">
        <f aca="false">IF(COUNTIFS(BOM!$A$2:$A$270,"L-*",BOM!$H$2:$H$270,"LOCAL")&gt;0,"local items","")</f>
        <v/>
      </c>
    </row>
    <row r="16" customFormat="false" ht="15" hidden="false" customHeight="false" outlineLevel="0" collapsed="false">
      <c r="A16" s="9" t="s">
        <v>458</v>
      </c>
      <c r="B16" s="9" t="s">
        <v>912</v>
      </c>
      <c r="C16" s="34" t="n">
        <f aca="false">COUNTIFS(BOM!$A$2:$A$270,"M-*")</f>
        <v>11</v>
      </c>
      <c r="D16" s="35" t="n">
        <f aca="false">SUMIFS(BOM!$G$2:$G$270,BOM!$A$2:$A$270,"M-*")</f>
        <v>1040</v>
      </c>
      <c r="E16" s="35" t="n">
        <f aca="false">SUMIFS(BOM!$J$2:$J$270,BOM!$A$2:$A$270,"M-*",BOM!$H$2:$H$270,"CN")</f>
        <v>0</v>
      </c>
      <c r="F16" s="35" t="n">
        <f aca="false">SUMIFS(BOM!$J$2:$J$270,BOM!$A$2:$A$270,"M-*",BOM!$H$2:$H$270,"CN-OPT")</f>
        <v>0</v>
      </c>
      <c r="G16" s="9" t="str">
        <f aca="false">IF(COUNTIFS(BOM!$A$2:$A$270,"M-*",BOM!$H$2:$H$270,"LOCAL")&gt;0,"local items","")</f>
        <v>local items</v>
      </c>
    </row>
    <row r="17" customFormat="false" ht="15" hidden="false" customHeight="false" outlineLevel="0" collapsed="false">
      <c r="A17" s="9" t="s">
        <v>492</v>
      </c>
      <c r="B17" s="9" t="s">
        <v>913</v>
      </c>
      <c r="C17" s="34" t="n">
        <f aca="false">COUNTIFS(BOM!$A$2:$A$270,"N-*")</f>
        <v>9</v>
      </c>
      <c r="D17" s="35" t="n">
        <f aca="false">SUMIFS(BOM!$G$2:$G$270,BOM!$A$2:$A$270,"N-*")</f>
        <v>1883</v>
      </c>
      <c r="E17" s="35" t="n">
        <f aca="false">SUMIFS(BOM!$J$2:$J$270,BOM!$A$2:$A$270,"N-*",BOM!$H$2:$H$270,"CN")</f>
        <v>0</v>
      </c>
      <c r="F17" s="35" t="n">
        <f aca="false">SUMIFS(BOM!$J$2:$J$270,BOM!$A$2:$A$270,"N-*",BOM!$H$2:$H$270,"CN-OPT")</f>
        <v>0</v>
      </c>
      <c r="G17" s="9" t="str">
        <f aca="false">IF(COUNTIFS(BOM!$A$2:$A$270,"N-*",BOM!$H$2:$H$270,"LOCAL")&gt;0,"local items","")</f>
        <v/>
      </c>
    </row>
    <row r="18" customFormat="false" ht="15" hidden="false" customHeight="false" outlineLevel="0" collapsed="false">
      <c r="A18" s="9" t="s">
        <v>522</v>
      </c>
      <c r="B18" s="9" t="s">
        <v>914</v>
      </c>
      <c r="C18" s="34" t="n">
        <f aca="false">COUNTIFS(BOM!$A$2:$A$270,"O-*")</f>
        <v>5</v>
      </c>
      <c r="D18" s="35" t="n">
        <f aca="false">SUMIFS(BOM!$G$2:$G$270,BOM!$A$2:$A$270,"O-*")</f>
        <v>760</v>
      </c>
      <c r="E18" s="35" t="n">
        <f aca="false">SUMIFS(BOM!$J$2:$J$270,BOM!$A$2:$A$270,"O-*",BOM!$H$2:$H$270,"CN")</f>
        <v>0</v>
      </c>
      <c r="F18" s="35" t="n">
        <f aca="false">SUMIFS(BOM!$J$2:$J$270,BOM!$A$2:$A$270,"O-*",BOM!$H$2:$H$270,"CN-OPT")</f>
        <v>0</v>
      </c>
      <c r="G18" s="9" t="str">
        <f aca="false">IF(COUNTIFS(BOM!$A$2:$A$270,"O-*",BOM!$H$2:$H$270,"LOCAL")&gt;0,"local items","")</f>
        <v>local items</v>
      </c>
    </row>
    <row r="19" customFormat="false" ht="15" hidden="false" customHeight="false" outlineLevel="0" collapsed="false">
      <c r="A19" s="9" t="s">
        <v>541</v>
      </c>
      <c r="B19" s="9" t="s">
        <v>915</v>
      </c>
      <c r="C19" s="34" t="n">
        <f aca="false">COUNTIFS(BOM!$A$2:$A$270,"P-*")</f>
        <v>11</v>
      </c>
      <c r="D19" s="35" t="n">
        <f aca="false">SUMIFS(BOM!$G$2:$G$270,BOM!$A$2:$A$270,"P-*")</f>
        <v>3678</v>
      </c>
      <c r="E19" s="35" t="n">
        <f aca="false">SUMIFS(BOM!$J$2:$J$270,BOM!$A$2:$A$270,"P-*",BOM!$H$2:$H$270,"CN")</f>
        <v>0</v>
      </c>
      <c r="F19" s="35" t="n">
        <f aca="false">SUMIFS(BOM!$J$2:$J$270,BOM!$A$2:$A$270,"P-*",BOM!$H$2:$H$270,"CN-OPT")</f>
        <v>0</v>
      </c>
      <c r="G19" s="9" t="str">
        <f aca="false">IF(COUNTIFS(BOM!$A$2:$A$270,"P-*",BOM!$H$2:$H$270,"LOCAL")&gt;0,"local items","")</f>
        <v/>
      </c>
    </row>
    <row r="20" customFormat="false" ht="15" hidden="false" customHeight="false" outlineLevel="0" collapsed="false">
      <c r="A20" s="9" t="s">
        <v>581</v>
      </c>
      <c r="B20" s="9" t="s">
        <v>916</v>
      </c>
      <c r="C20" s="34" t="n">
        <f aca="false">COUNTIFS(BOM!$A$2:$A$270,"Q-*")</f>
        <v>9</v>
      </c>
      <c r="D20" s="35" t="n">
        <f aca="false">SUMIFS(BOM!$G$2:$G$270,BOM!$A$2:$A$270,"Q-*")</f>
        <v>1364</v>
      </c>
      <c r="E20" s="35" t="n">
        <f aca="false">SUMIFS(BOM!$J$2:$J$270,BOM!$A$2:$A$270,"Q-*",BOM!$H$2:$H$270,"CN")</f>
        <v>0</v>
      </c>
      <c r="F20" s="35" t="n">
        <f aca="false">SUMIFS(BOM!$J$2:$J$270,BOM!$A$2:$A$270,"Q-*",BOM!$H$2:$H$270,"CN-OPT")</f>
        <v>0</v>
      </c>
      <c r="G20" s="9" t="str">
        <f aca="false">IF(COUNTIFS(BOM!$A$2:$A$270,"Q-*",BOM!$H$2:$H$270,"LOCAL")&gt;0,"local items","")</f>
        <v/>
      </c>
    </row>
    <row r="21" customFormat="false" ht="15" hidden="false" customHeight="false" outlineLevel="0" collapsed="false">
      <c r="A21" s="9" t="s">
        <v>614</v>
      </c>
      <c r="B21" s="9" t="s">
        <v>917</v>
      </c>
      <c r="C21" s="34" t="n">
        <f aca="false">COUNTIFS(BOM!$A$2:$A$270,"R-*")</f>
        <v>7</v>
      </c>
      <c r="D21" s="35" t="n">
        <f aca="false">SUMIFS(BOM!$G$2:$G$270,BOM!$A$2:$A$270,"R-*")</f>
        <v>1685</v>
      </c>
      <c r="E21" s="35" t="n">
        <f aca="false">SUMIFS(BOM!$J$2:$J$270,BOM!$A$2:$A$270,"R-*",BOM!$H$2:$H$270,"CN")</f>
        <v>0</v>
      </c>
      <c r="F21" s="35" t="n">
        <f aca="false">SUMIFS(BOM!$J$2:$J$270,BOM!$A$2:$A$270,"R-*",BOM!$H$2:$H$270,"CN-OPT")</f>
        <v>0</v>
      </c>
      <c r="G21" s="9" t="str">
        <f aca="false">IF(COUNTIFS(BOM!$A$2:$A$270,"R-*",BOM!$H$2:$H$270,"LOCAL")&gt;0,"local items","")</f>
        <v/>
      </c>
    </row>
    <row r="22" customFormat="false" ht="15" hidden="false" customHeight="false" outlineLevel="0" collapsed="false">
      <c r="A22" s="9" t="s">
        <v>637</v>
      </c>
      <c r="B22" s="9" t="s">
        <v>918</v>
      </c>
      <c r="C22" s="34" t="n">
        <f aca="false">COUNTIFS(BOM!$A$2:$A$270,"S-*")</f>
        <v>13</v>
      </c>
      <c r="D22" s="35" t="n">
        <f aca="false">SUMIFS(BOM!$G$2:$G$270,BOM!$A$2:$A$270,"S-*")</f>
        <v>1432</v>
      </c>
      <c r="E22" s="35" t="n">
        <f aca="false">SUMIFS(BOM!$J$2:$J$270,BOM!$A$2:$A$270,"S-*",BOM!$H$2:$H$270,"CN")</f>
        <v>0</v>
      </c>
      <c r="F22" s="35" t="n">
        <f aca="false">SUMIFS(BOM!$J$2:$J$270,BOM!$A$2:$A$270,"S-*",BOM!$H$2:$H$270,"CN-OPT")</f>
        <v>0</v>
      </c>
      <c r="G22" s="9" t="str">
        <f aca="false">IF(COUNTIFS(BOM!$A$2:$A$270,"S-*",BOM!$H$2:$H$270,"LOCAL")&gt;0,"local items","")</f>
        <v/>
      </c>
    </row>
    <row r="23" customFormat="false" ht="15" hidden="false" customHeight="false" outlineLevel="0" collapsed="false">
      <c r="A23" s="9" t="s">
        <v>680</v>
      </c>
      <c r="B23" s="9" t="s">
        <v>919</v>
      </c>
      <c r="C23" s="34" t="n">
        <f aca="false">COUNTIFS(BOM!$A$2:$A$270,"T-*")</f>
        <v>9</v>
      </c>
      <c r="D23" s="35" t="n">
        <f aca="false">SUMIFS(BOM!$G$2:$G$270,BOM!$A$2:$A$270,"T-*")</f>
        <v>166</v>
      </c>
      <c r="E23" s="35" t="n">
        <f aca="false">SUMIFS(BOM!$J$2:$J$270,BOM!$A$2:$A$270,"T-*",BOM!$H$2:$H$270,"CN")</f>
        <v>0</v>
      </c>
      <c r="F23" s="35" t="n">
        <f aca="false">SUMIFS(BOM!$J$2:$J$270,BOM!$A$2:$A$270,"T-*",BOM!$H$2:$H$270,"CN-OPT")</f>
        <v>0</v>
      </c>
      <c r="G23" s="9" t="str">
        <f aca="false">IF(COUNTIFS(BOM!$A$2:$A$270,"T-*",BOM!$H$2:$H$270,"LOCAL")&gt;0,"local items","")</f>
        <v/>
      </c>
    </row>
    <row r="24" customFormat="false" ht="15" hidden="false" customHeight="false" outlineLevel="0" collapsed="false">
      <c r="A24" s="9" t="s">
        <v>711</v>
      </c>
      <c r="B24" s="9" t="s">
        <v>920</v>
      </c>
      <c r="C24" s="34" t="n">
        <f aca="false">COUNTIFS(BOM!$A$2:$A$270,"U-*")</f>
        <v>23</v>
      </c>
      <c r="D24" s="35" t="n">
        <f aca="false">SUMIFS(BOM!$G$2:$G$270,BOM!$A$2:$A$270,"U-*")</f>
        <v>121</v>
      </c>
      <c r="E24" s="35" t="n">
        <f aca="false">SUMIFS(BOM!$J$2:$J$270,BOM!$A$2:$A$270,"U-*",BOM!$H$2:$H$270,"CN")</f>
        <v>0</v>
      </c>
      <c r="F24" s="35" t="n">
        <f aca="false">SUMIFS(BOM!$J$2:$J$270,BOM!$A$2:$A$270,"U-*",BOM!$H$2:$H$270,"CN-OPT")</f>
        <v>0</v>
      </c>
      <c r="G24" s="9" t="str">
        <f aca="false">IF(COUNTIFS(BOM!$A$2:$A$270,"U-*",BOM!$H$2:$H$270,"LOCAL")&gt;0,"local items","")</f>
        <v/>
      </c>
    </row>
    <row r="25" customFormat="false" ht="15" hidden="false" customHeight="false" outlineLevel="0" collapsed="false">
      <c r="A25" s="9" t="s">
        <v>786</v>
      </c>
      <c r="B25" s="9" t="s">
        <v>921</v>
      </c>
      <c r="C25" s="34" t="n">
        <f aca="false">COUNTIFS(BOM!$A$2:$A$270,"V-*")</f>
        <v>8</v>
      </c>
      <c r="D25" s="35" t="n">
        <f aca="false">SUMIFS(BOM!$G$2:$G$270,BOM!$A$2:$A$270,"V-*")</f>
        <v>630</v>
      </c>
      <c r="E25" s="35" t="n">
        <f aca="false">SUMIFS(BOM!$J$2:$J$270,BOM!$A$2:$A$270,"V-*",BOM!$H$2:$H$270,"CN")</f>
        <v>0</v>
      </c>
      <c r="F25" s="35" t="n">
        <f aca="false">SUMIFS(BOM!$J$2:$J$270,BOM!$A$2:$A$270,"V-*",BOM!$H$2:$H$270,"CN-OPT")</f>
        <v>0</v>
      </c>
      <c r="G25" s="9" t="str">
        <f aca="false">IF(COUNTIFS(BOM!$A$2:$A$270,"V-*",BOM!$H$2:$H$270,"LOCAL")&gt;0,"local items","")</f>
        <v/>
      </c>
    </row>
    <row r="26" customFormat="false" ht="15" hidden="false" customHeight="false" outlineLevel="0" collapsed="false">
      <c r="A26" s="9" t="s">
        <v>811</v>
      </c>
      <c r="B26" s="9" t="s">
        <v>922</v>
      </c>
      <c r="C26" s="34" t="n">
        <f aca="false">COUNTIFS(BOM!$A$2:$A$270,"W-*")</f>
        <v>5</v>
      </c>
      <c r="D26" s="35" t="n">
        <f aca="false">SUMIFS(BOM!$G$2:$G$270,BOM!$A$2:$A$270,"W-*")</f>
        <v>2315</v>
      </c>
      <c r="E26" s="35" t="n">
        <f aca="false">SUMIFS(BOM!$J$2:$J$270,BOM!$A$2:$A$270,"W-*",BOM!$H$2:$H$270,"CN")</f>
        <v>0</v>
      </c>
      <c r="F26" s="35" t="n">
        <f aca="false">SUMIFS(BOM!$J$2:$J$270,BOM!$A$2:$A$270,"W-*",BOM!$H$2:$H$270,"CN-OPT")</f>
        <v>0</v>
      </c>
      <c r="G26" s="9" t="str">
        <f aca="false">IF(COUNTIFS(BOM!$A$2:$A$270,"W-*",BOM!$H$2:$H$270,"LOCAL")&gt;0,"local items","")</f>
        <v/>
      </c>
    </row>
    <row r="27" customFormat="false" ht="15" hidden="false" customHeight="false" outlineLevel="0" collapsed="false">
      <c r="A27" s="9" t="s">
        <v>827</v>
      </c>
      <c r="B27" s="9" t="s">
        <v>923</v>
      </c>
      <c r="C27" s="34" t="n">
        <f aca="false">COUNTIFS(BOM!$A$2:$A$270,"X-*")</f>
        <v>9</v>
      </c>
      <c r="D27" s="35" t="n">
        <f aca="false">SUMIFS(BOM!$G$2:$G$270,BOM!$A$2:$A$270,"X-*")</f>
        <v>825</v>
      </c>
      <c r="E27" s="35" t="n">
        <f aca="false">SUMIFS(BOM!$J$2:$J$270,BOM!$A$2:$A$270,"X-*",BOM!$H$2:$H$270,"CN")</f>
        <v>0</v>
      </c>
      <c r="F27" s="35" t="n">
        <f aca="false">SUMIFS(BOM!$J$2:$J$270,BOM!$A$2:$A$270,"X-*",BOM!$H$2:$H$270,"CN-OPT")</f>
        <v>0</v>
      </c>
      <c r="G27" s="9" t="str">
        <f aca="false">IF(COUNTIFS(BOM!$A$2:$A$270,"X-*",BOM!$H$2:$H$270,"LOCAL")&gt;0,"local items","")</f>
        <v/>
      </c>
    </row>
    <row r="28" customFormat="false" ht="15" hidden="false" customHeight="false" outlineLevel="0" collapsed="false">
      <c r="A28" s="9" t="s">
        <v>853</v>
      </c>
      <c r="B28" s="9" t="s">
        <v>924</v>
      </c>
      <c r="C28" s="34" t="n">
        <f aca="false">COUNTIFS(BOM!$A$2:$A$270,"Y-*")</f>
        <v>12</v>
      </c>
      <c r="D28" s="35" t="n">
        <f aca="false">SUMIFS(BOM!$G$2:$G$270,BOM!$A$2:$A$270,"Y-*")</f>
        <v>0</v>
      </c>
      <c r="E28" s="35" t="n">
        <f aca="false">SUMIFS(BOM!$J$2:$J$270,BOM!$A$2:$A$270,"Y-*",BOM!$H$2:$H$270,"CN")</f>
        <v>0</v>
      </c>
      <c r="F28" s="35" t="n">
        <f aca="false">SUMIFS(BOM!$J$2:$J$270,BOM!$A$2:$A$270,"Y-*",BOM!$H$2:$H$270,"CN-OPT")</f>
        <v>0</v>
      </c>
      <c r="G28" s="9" t="str">
        <f aca="false">IF(COUNTIFS(BOM!$A$2:$A$270,"Y-*",BOM!$H$2:$H$270,"LOCAL")&gt;0,"local items","")</f>
        <v>local items</v>
      </c>
    </row>
    <row r="29" customFormat="false" ht="15" hidden="false" customHeight="false" outlineLevel="0" collapsed="false">
      <c r="A29" s="36"/>
      <c r="B29" s="31" t="s">
        <v>925</v>
      </c>
      <c r="C29" s="33" t="n">
        <f aca="false">SUM(C4:C28)</f>
        <v>244</v>
      </c>
      <c r="D29" s="32" t="n">
        <f aca="false">SUM(D4:D28)</f>
        <v>74439</v>
      </c>
      <c r="E29" s="32" t="n">
        <f aca="false">SUM(E4:E28)</f>
        <v>0</v>
      </c>
      <c r="F29" s="32" t="n">
        <f aca="false">SUM(F4:F28)</f>
        <v>0</v>
      </c>
      <c r="G29" s="36"/>
    </row>
    <row r="32" customFormat="false" ht="15" hidden="false" customHeight="false" outlineLevel="0" collapsed="false">
      <c r="B32" s="5" t="s">
        <v>926</v>
      </c>
    </row>
    <row r="33" customFormat="false" ht="15" hidden="false" customHeight="false" outlineLevel="0" collapsed="false">
      <c r="B33" s="10" t="s">
        <v>927</v>
      </c>
      <c r="C33" s="37"/>
      <c r="D33" s="37"/>
      <c r="E33" s="38" t="n">
        <f aca="false">E29</f>
        <v>0</v>
      </c>
    </row>
    <row r="34" customFormat="false" ht="15" hidden="false" customHeight="false" outlineLevel="0" collapsed="false">
      <c r="B34" s="10" t="s">
        <v>928</v>
      </c>
      <c r="C34" s="37"/>
      <c r="D34" s="37"/>
      <c r="E34" s="39"/>
    </row>
    <row r="35" customFormat="false" ht="15" hidden="false" customHeight="false" outlineLevel="0" collapsed="false">
      <c r="B35" s="10" t="s">
        <v>929</v>
      </c>
      <c r="C35" s="37"/>
      <c r="D35" s="37"/>
      <c r="E35" s="39"/>
    </row>
    <row r="36" customFormat="false" ht="15" hidden="false" customHeight="false" outlineLevel="0" collapsed="false">
      <c r="B36" s="10" t="s">
        <v>930</v>
      </c>
      <c r="C36" s="37"/>
      <c r="D36" s="37"/>
      <c r="E36" s="39"/>
    </row>
    <row r="37" customFormat="false" ht="15" hidden="false" customHeight="false" outlineLevel="0" collapsed="false">
      <c r="B37" s="10" t="s">
        <v>931</v>
      </c>
      <c r="C37" s="37"/>
      <c r="D37" s="37"/>
      <c r="E37" s="39"/>
    </row>
    <row r="38" customFormat="false" ht="15" hidden="false" customHeight="false" outlineLevel="0" collapsed="false">
      <c r="B38" s="31" t="s">
        <v>932</v>
      </c>
      <c r="C38" s="36"/>
      <c r="D38" s="36"/>
      <c r="E38" s="32" t="n">
        <f aca="false">SUM(E33:E37)</f>
        <v>0</v>
      </c>
    </row>
    <row r="39" customFormat="false" ht="15" hidden="false" customHeight="false" outlineLevel="0" collapsed="false">
      <c r="B39" s="10" t="s">
        <v>933</v>
      </c>
      <c r="C39" s="37"/>
      <c r="D39" s="37"/>
      <c r="E39" s="38" t="n">
        <f aca="false">F29</f>
        <v>0</v>
      </c>
    </row>
    <row r="41" customFormat="false" ht="15" hidden="false" customHeight="true" outlineLevel="0" collapsed="false">
      <c r="B41" s="13" t="s">
        <v>934</v>
      </c>
      <c r="C41" s="13"/>
      <c r="D41" s="13"/>
      <c r="E41" s="13"/>
      <c r="F41" s="13"/>
    </row>
    <row r="42" customFormat="false" ht="15" hidden="false" customHeight="false" outlineLevel="0" collapsed="false">
      <c r="B42" s="13"/>
      <c r="C42" s="13"/>
      <c r="D42" s="13"/>
      <c r="E42" s="13"/>
      <c r="F42" s="13"/>
    </row>
  </sheetData>
  <mergeCells count="1">
    <mergeCell ref="B41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5" t="s">
        <v>935</v>
      </c>
    </row>
    <row r="2" customFormat="false" ht="15" hidden="false" customHeight="false" outlineLevel="0" collapsed="false">
      <c r="A2" s="40" t="s">
        <v>936</v>
      </c>
    </row>
    <row r="4" customFormat="false" ht="15" hidden="false" customHeight="false" outlineLevel="0" collapsed="false">
      <c r="A4" s="8" t="s">
        <v>937</v>
      </c>
      <c r="B4" s="8" t="s">
        <v>938</v>
      </c>
      <c r="C4" s="8" t="s">
        <v>939</v>
      </c>
      <c r="D4" s="8" t="s">
        <v>940</v>
      </c>
      <c r="E4" s="8" t="s">
        <v>39</v>
      </c>
    </row>
    <row r="5" customFormat="false" ht="15" hidden="false" customHeight="false" outlineLevel="0" collapsed="false">
      <c r="A5" s="9" t="s">
        <v>941</v>
      </c>
      <c r="B5" s="9" t="s">
        <v>942</v>
      </c>
      <c r="C5" s="9" t="n">
        <v>8</v>
      </c>
      <c r="D5" s="9" t="s">
        <v>720</v>
      </c>
      <c r="E5" s="9"/>
    </row>
    <row r="6" customFormat="false" ht="15" hidden="false" customHeight="false" outlineLevel="0" collapsed="false">
      <c r="A6" s="9" t="s">
        <v>943</v>
      </c>
      <c r="B6" s="9" t="s">
        <v>944</v>
      </c>
      <c r="C6" s="9" t="n">
        <v>6</v>
      </c>
      <c r="D6" s="9" t="s">
        <v>724</v>
      </c>
      <c r="E6" s="9"/>
    </row>
    <row r="7" customFormat="false" ht="15" hidden="false" customHeight="false" outlineLevel="0" collapsed="false">
      <c r="A7" s="9" t="s">
        <v>945</v>
      </c>
      <c r="B7" s="9" t="s">
        <v>946</v>
      </c>
      <c r="C7" s="9" t="n">
        <v>4</v>
      </c>
      <c r="D7" s="9" t="s">
        <v>727</v>
      </c>
      <c r="E7" s="9"/>
    </row>
    <row r="8" customFormat="false" ht="15" hidden="false" customHeight="false" outlineLevel="0" collapsed="false">
      <c r="A8" s="9" t="s">
        <v>947</v>
      </c>
      <c r="B8" s="9" t="s">
        <v>948</v>
      </c>
      <c r="C8" s="9" t="n">
        <v>6</v>
      </c>
      <c r="D8" s="9" t="s">
        <v>730</v>
      </c>
      <c r="E8" s="9"/>
    </row>
    <row r="9" customFormat="false" ht="15" hidden="false" customHeight="false" outlineLevel="0" collapsed="false">
      <c r="A9" s="9" t="s">
        <v>949</v>
      </c>
      <c r="B9" s="9" t="s">
        <v>950</v>
      </c>
      <c r="C9" s="9" t="n">
        <v>3</v>
      </c>
      <c r="D9" s="9" t="s">
        <v>733</v>
      </c>
      <c r="E9" s="9"/>
    </row>
    <row r="10" customFormat="false" ht="15" hidden="false" customHeight="false" outlineLevel="0" collapsed="false">
      <c r="A10" s="9" t="s">
        <v>951</v>
      </c>
      <c r="B10" s="9" t="s">
        <v>952</v>
      </c>
      <c r="C10" s="9" t="n">
        <v>3</v>
      </c>
      <c r="D10" s="9" t="s">
        <v>736</v>
      </c>
      <c r="E10" s="9"/>
    </row>
    <row r="11" customFormat="false" ht="15" hidden="false" customHeight="false" outlineLevel="0" collapsed="false">
      <c r="A11" s="9" t="s">
        <v>953</v>
      </c>
      <c r="B11" s="9" t="s">
        <v>954</v>
      </c>
      <c r="C11" s="9" t="n">
        <v>6</v>
      </c>
      <c r="D11" s="9" t="s">
        <v>739</v>
      </c>
      <c r="E11" s="9"/>
    </row>
    <row r="12" customFormat="false" ht="15" hidden="false" customHeight="false" outlineLevel="0" collapsed="false">
      <c r="A12" s="9" t="s">
        <v>955</v>
      </c>
      <c r="B12" s="9" t="s">
        <v>956</v>
      </c>
      <c r="C12" s="9" t="n">
        <v>11</v>
      </c>
      <c r="D12" s="9" t="s">
        <v>743</v>
      </c>
      <c r="E12" s="9"/>
    </row>
    <row r="13" customFormat="false" ht="15" hidden="false" customHeight="false" outlineLevel="0" collapsed="false">
      <c r="A13" s="9" t="s">
        <v>957</v>
      </c>
      <c r="B13" s="9" t="s">
        <v>747</v>
      </c>
      <c r="C13" s="9" t="n">
        <v>1</v>
      </c>
      <c r="D13" s="9" t="s">
        <v>746</v>
      </c>
      <c r="E13" s="9"/>
    </row>
    <row r="14" customFormat="false" ht="15" hidden="false" customHeight="false" outlineLevel="0" collapsed="false">
      <c r="A14" s="9" t="s">
        <v>958</v>
      </c>
      <c r="B14" s="9" t="s">
        <v>750</v>
      </c>
      <c r="C14" s="9" t="n">
        <v>3</v>
      </c>
      <c r="D14" s="9" t="s">
        <v>749</v>
      </c>
      <c r="E14" s="9"/>
    </row>
    <row r="15" customFormat="false" ht="15" hidden="false" customHeight="false" outlineLevel="0" collapsed="false">
      <c r="A15" s="9" t="s">
        <v>959</v>
      </c>
      <c r="B15" s="9" t="s">
        <v>960</v>
      </c>
      <c r="C15" s="9" t="n">
        <v>1</v>
      </c>
      <c r="D15" s="9" t="s">
        <v>508</v>
      </c>
      <c r="E15" s="9"/>
    </row>
    <row r="16" customFormat="false" ht="15" hidden="false" customHeight="false" outlineLevel="0" collapsed="false">
      <c r="A16" s="9" t="s">
        <v>961</v>
      </c>
      <c r="B16" s="9" t="s">
        <v>962</v>
      </c>
      <c r="C16" s="9" t="n">
        <v>1</v>
      </c>
      <c r="D16" s="9" t="s">
        <v>515</v>
      </c>
      <c r="E16" s="9"/>
    </row>
    <row r="17" customFormat="false" ht="15" hidden="false" customHeight="false" outlineLevel="0" collapsed="false">
      <c r="A17" s="9" t="s">
        <v>963</v>
      </c>
      <c r="B17" s="9" t="s">
        <v>964</v>
      </c>
      <c r="C17" s="9" t="n">
        <v>6</v>
      </c>
      <c r="D17" s="9" t="s">
        <v>752</v>
      </c>
      <c r="E17" s="9"/>
    </row>
    <row r="18" customFormat="false" ht="15" hidden="false" customHeight="false" outlineLevel="0" collapsed="false">
      <c r="A18" s="9" t="s">
        <v>965</v>
      </c>
      <c r="B18" s="9" t="s">
        <v>966</v>
      </c>
      <c r="C18" s="9" t="n">
        <v>1</v>
      </c>
      <c r="D18" s="9" t="s">
        <v>755</v>
      </c>
      <c r="E18" s="9"/>
    </row>
    <row r="19" customFormat="false" ht="15" hidden="false" customHeight="false" outlineLevel="0" collapsed="false">
      <c r="A19" s="9" t="s">
        <v>967</v>
      </c>
      <c r="B19" s="9" t="s">
        <v>968</v>
      </c>
      <c r="C19" s="9" t="n">
        <v>1</v>
      </c>
      <c r="D19" s="9" t="s">
        <v>758</v>
      </c>
      <c r="E19" s="9"/>
    </row>
    <row r="20" customFormat="false" ht="15" hidden="false" customHeight="false" outlineLevel="0" collapsed="false">
      <c r="A20" s="36"/>
      <c r="B20" s="31" t="s">
        <v>969</v>
      </c>
      <c r="C20" s="33" t="n">
        <f aca="false">SUM(C5:C19)</f>
        <v>61</v>
      </c>
      <c r="D20" s="36"/>
      <c r="E20" s="36"/>
    </row>
    <row r="22" customFormat="false" ht="15" hidden="false" customHeight="false" outlineLevel="0" collapsed="false">
      <c r="B22" s="4" t="s">
        <v>970</v>
      </c>
      <c r="C22" s="4" t="s">
        <v>971</v>
      </c>
    </row>
    <row r="23" customFormat="false" ht="15" hidden="false" customHeight="false" outlineLevel="0" collapsed="false">
      <c r="B23" s="4" t="s">
        <v>972</v>
      </c>
      <c r="C23" s="4" t="s">
        <v>973</v>
      </c>
    </row>
    <row r="24" customFormat="false" ht="15" hidden="false" customHeight="false" outlineLevel="0" collapsed="false">
      <c r="B24" s="4" t="s">
        <v>974</v>
      </c>
      <c r="C24" s="4" t="s">
        <v>975</v>
      </c>
    </row>
    <row r="26" customFormat="false" ht="15" hidden="false" customHeight="true" outlineLevel="0" collapsed="false">
      <c r="B26" s="41" t="s">
        <v>976</v>
      </c>
      <c r="C26" s="41"/>
      <c r="D26" s="41"/>
      <c r="E26" s="41"/>
    </row>
    <row r="27" customFormat="false" ht="15" hidden="false" customHeight="false" outlineLevel="0" collapsed="false">
      <c r="B27" s="41"/>
      <c r="C27" s="41"/>
      <c r="D27" s="41"/>
      <c r="E27" s="41"/>
    </row>
  </sheetData>
  <mergeCells count="1">
    <mergeCell ref="B26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5" t="s">
        <v>977</v>
      </c>
    </row>
    <row r="2" customFormat="false" ht="15" hidden="false" customHeight="false" outlineLevel="0" collapsed="false">
      <c r="A2" s="40" t="s">
        <v>978</v>
      </c>
    </row>
    <row r="4" customFormat="false" ht="15" hidden="false" customHeight="false" outlineLevel="0" collapsed="false">
      <c r="A4" s="8" t="s">
        <v>979</v>
      </c>
      <c r="B4" s="8" t="s">
        <v>980</v>
      </c>
      <c r="C4" s="8" t="s">
        <v>981</v>
      </c>
    </row>
    <row r="5" customFormat="false" ht="15" hidden="false" customHeight="false" outlineLevel="0" collapsed="false">
      <c r="A5" s="9" t="s">
        <v>982</v>
      </c>
      <c r="B5" s="9" t="s">
        <v>983</v>
      </c>
      <c r="C5" s="9" t="s">
        <v>984</v>
      </c>
    </row>
    <row r="6" customFormat="false" ht="15" hidden="false" customHeight="false" outlineLevel="0" collapsed="false">
      <c r="A6" s="9" t="s">
        <v>985</v>
      </c>
      <c r="B6" s="9" t="s">
        <v>986</v>
      </c>
      <c r="C6" s="9" t="s">
        <v>987</v>
      </c>
    </row>
    <row r="7" customFormat="false" ht="15" hidden="false" customHeight="false" outlineLevel="0" collapsed="false">
      <c r="A7" s="9" t="s">
        <v>988</v>
      </c>
      <c r="B7" s="9" t="s">
        <v>989</v>
      </c>
      <c r="C7" s="9" t="s">
        <v>990</v>
      </c>
    </row>
    <row r="8" customFormat="false" ht="15" hidden="false" customHeight="false" outlineLevel="0" collapsed="false">
      <c r="A8" s="9" t="s">
        <v>991</v>
      </c>
      <c r="B8" s="9" t="s">
        <v>992</v>
      </c>
      <c r="C8" s="9" t="s">
        <v>993</v>
      </c>
    </row>
    <row r="9" customFormat="false" ht="15" hidden="false" customHeight="false" outlineLevel="0" collapsed="false">
      <c r="A9" s="9" t="s">
        <v>994</v>
      </c>
      <c r="B9" s="9" t="s">
        <v>995</v>
      </c>
      <c r="C9" s="9" t="s">
        <v>996</v>
      </c>
    </row>
    <row r="10" customFormat="false" ht="15" hidden="false" customHeight="false" outlineLevel="0" collapsed="false">
      <c r="A10" s="9" t="s">
        <v>997</v>
      </c>
      <c r="B10" s="9" t="s">
        <v>998</v>
      </c>
      <c r="C10" s="9" t="s">
        <v>337</v>
      </c>
    </row>
    <row r="11" customFormat="false" ht="15" hidden="false" customHeight="false" outlineLevel="0" collapsed="false">
      <c r="A11" s="9" t="s">
        <v>999</v>
      </c>
      <c r="B11" s="9" t="s">
        <v>1000</v>
      </c>
      <c r="C11" s="9" t="s">
        <v>1001</v>
      </c>
    </row>
    <row r="12" customFormat="false" ht="15" hidden="false" customHeight="false" outlineLevel="0" collapsed="false">
      <c r="A12" s="9" t="s">
        <v>1002</v>
      </c>
      <c r="B12" s="9" t="s">
        <v>1003</v>
      </c>
      <c r="C12" s="9" t="s">
        <v>1004</v>
      </c>
    </row>
    <row r="13" customFormat="false" ht="15" hidden="false" customHeight="false" outlineLevel="0" collapsed="false">
      <c r="A13" s="9" t="s">
        <v>1005</v>
      </c>
      <c r="B13" s="9" t="s">
        <v>1006</v>
      </c>
      <c r="C13" s="9" t="s">
        <v>1007</v>
      </c>
    </row>
    <row r="14" customFormat="false" ht="15" hidden="false" customHeight="false" outlineLevel="0" collapsed="false">
      <c r="A14" s="9" t="s">
        <v>1008</v>
      </c>
      <c r="B14" s="9" t="s">
        <v>1009</v>
      </c>
      <c r="C14" s="9" t="s">
        <v>1010</v>
      </c>
    </row>
    <row r="15" customFormat="false" ht="15" hidden="false" customHeight="false" outlineLevel="0" collapsed="false">
      <c r="A15" s="9" t="s">
        <v>1011</v>
      </c>
      <c r="B15" s="9" t="s">
        <v>1012</v>
      </c>
      <c r="C15" s="9" t="s">
        <v>1013</v>
      </c>
    </row>
    <row r="16" customFormat="false" ht="15" hidden="false" customHeight="false" outlineLevel="0" collapsed="false">
      <c r="A16" s="9" t="s">
        <v>1014</v>
      </c>
      <c r="B16" s="9" t="s">
        <v>1015</v>
      </c>
      <c r="C16" s="9" t="s">
        <v>1016</v>
      </c>
    </row>
    <row r="17" customFormat="false" ht="15" hidden="false" customHeight="false" outlineLevel="0" collapsed="false">
      <c r="A17" s="9" t="s">
        <v>1017</v>
      </c>
      <c r="B17" s="9" t="s">
        <v>1018</v>
      </c>
      <c r="C17" s="9" t="s">
        <v>1019</v>
      </c>
    </row>
    <row r="18" customFormat="false" ht="15" hidden="false" customHeight="false" outlineLevel="0" collapsed="false">
      <c r="A18" s="9" t="s">
        <v>1020</v>
      </c>
      <c r="B18" s="9" t="s">
        <v>1021</v>
      </c>
      <c r="C18" s="9" t="s">
        <v>1022</v>
      </c>
    </row>
    <row r="19" customFormat="false" ht="15" hidden="false" customHeight="false" outlineLevel="0" collapsed="false">
      <c r="A19" s="9" t="s">
        <v>1023</v>
      </c>
      <c r="B19" s="9" t="s">
        <v>1024</v>
      </c>
      <c r="C19" s="9" t="s">
        <v>1025</v>
      </c>
    </row>
    <row r="20" customFormat="false" ht="15" hidden="false" customHeight="false" outlineLevel="0" collapsed="false">
      <c r="A20" s="9" t="s">
        <v>1026</v>
      </c>
      <c r="B20" s="9" t="s">
        <v>1027</v>
      </c>
      <c r="C20" s="9" t="s">
        <v>1028</v>
      </c>
    </row>
    <row r="21" customFormat="false" ht="15" hidden="false" customHeight="false" outlineLevel="0" collapsed="false">
      <c r="A21" s="9" t="s">
        <v>1029</v>
      </c>
      <c r="B21" s="9" t="s">
        <v>1030</v>
      </c>
      <c r="C21" s="9" t="s">
        <v>1031</v>
      </c>
    </row>
    <row r="23" customFormat="false" ht="15" hidden="false" customHeight="true" outlineLevel="0" collapsed="false">
      <c r="A23" s="41" t="s">
        <v>1032</v>
      </c>
      <c r="B23" s="41"/>
      <c r="C23" s="41"/>
    </row>
    <row r="24" customFormat="false" ht="15" hidden="false" customHeight="false" outlineLevel="0" collapsed="false">
      <c r="A24" s="41"/>
      <c r="B24" s="41"/>
      <c r="C24" s="41"/>
    </row>
    <row r="25" customFormat="false" ht="15" hidden="false" customHeight="false" outlineLevel="0" collapsed="false">
      <c r="A25" s="41"/>
      <c r="B25" s="41"/>
      <c r="C25" s="41"/>
    </row>
  </sheetData>
  <mergeCells count="1">
    <mergeCell ref="A23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2026-09-24T12:41:23Z</dcterms:created>
  <dc:creator>openpyxl</dc:creator>
  <dc:description/>
  <dc:language>en-US</dc:language>
  <cp:lastModifiedBy/>
  <dcterms:modified xsi:type="dcterms:W3CDTF">2026-09-24T12:41:23Z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